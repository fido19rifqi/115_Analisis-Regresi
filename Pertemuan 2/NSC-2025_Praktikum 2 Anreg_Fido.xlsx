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68D4CA1C-D14E-47F8-AC9E-07EF7F4FB1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6" l="1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2" i="6"/>
  <c r="W7" i="6" s="1"/>
  <c r="P21" i="6" a="1"/>
  <c r="P21" i="6" s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2" i="6"/>
  <c r="S21" i="6"/>
  <c r="S22" i="6"/>
  <c r="P22" i="6"/>
  <c r="P20" i="6"/>
  <c r="S20" i="6" s="1"/>
  <c r="P19" i="6"/>
  <c r="Z36" i="6"/>
  <c r="Z41" i="6"/>
  <c r="Z45" i="6"/>
  <c r="Z119" i="6"/>
  <c r="Z120" i="6"/>
  <c r="Y121" i="6"/>
  <c r="Y38" i="6"/>
  <c r="Y39" i="6"/>
  <c r="Y40" i="6"/>
  <c r="Y53" i="6"/>
  <c r="Y77" i="6"/>
  <c r="Y88" i="6"/>
  <c r="Y90" i="6"/>
  <c r="Y91" i="6"/>
  <c r="W10" i="6"/>
  <c r="Y11" i="6" s="1"/>
  <c r="W9" i="6"/>
  <c r="Z6" i="6" s="1"/>
  <c r="T10" i="6"/>
  <c r="T9" i="6" a="1"/>
  <c r="T9" i="6" s="1"/>
  <c r="T8" i="6"/>
  <c r="W8" i="6" s="1"/>
  <c r="T7" i="6"/>
  <c r="Z102" i="6" l="1"/>
  <c r="Z101" i="6"/>
  <c r="Y75" i="6"/>
  <c r="Z12" i="6"/>
  <c r="Y111" i="6"/>
  <c r="Z92" i="6"/>
  <c r="Y69" i="6"/>
  <c r="Z71" i="6"/>
  <c r="Y106" i="6"/>
  <c r="Y58" i="6"/>
  <c r="Y18" i="6"/>
  <c r="Y105" i="6"/>
  <c r="Y57" i="6"/>
  <c r="Y17" i="6"/>
  <c r="Z68" i="6"/>
  <c r="Z19" i="6"/>
  <c r="Y34" i="6"/>
  <c r="Y33" i="6"/>
  <c r="Y70" i="6"/>
  <c r="Z11" i="6"/>
  <c r="Y93" i="6"/>
  <c r="Y55" i="6"/>
  <c r="Y16" i="6"/>
  <c r="Z67" i="6"/>
  <c r="T12" i="6"/>
  <c r="T13" i="6" s="1"/>
  <c r="Y76" i="6"/>
  <c r="Z17" i="6"/>
  <c r="Y112" i="6"/>
  <c r="Z93" i="6"/>
  <c r="Y20" i="6"/>
  <c r="Y110" i="6"/>
  <c r="Y19" i="6"/>
  <c r="Z69" i="6"/>
  <c r="Y92" i="6"/>
  <c r="Y54" i="6"/>
  <c r="Y122" i="6"/>
  <c r="Z46" i="6"/>
  <c r="Y67" i="6"/>
  <c r="Z57" i="6"/>
  <c r="Y101" i="6"/>
  <c r="Y82" i="6"/>
  <c r="Y50" i="6"/>
  <c r="Y30" i="6"/>
  <c r="Y10" i="6"/>
  <c r="Z108" i="6"/>
  <c r="Z83" i="6"/>
  <c r="Z91" i="6"/>
  <c r="Y68" i="6"/>
  <c r="Z117" i="6"/>
  <c r="Z89" i="6"/>
  <c r="Y102" i="6"/>
  <c r="Y51" i="6"/>
  <c r="Z113" i="6"/>
  <c r="Z32" i="6"/>
  <c r="Y116" i="6"/>
  <c r="Y100" i="6"/>
  <c r="Y81" i="6"/>
  <c r="Y65" i="6"/>
  <c r="Y46" i="6"/>
  <c r="Y29" i="6"/>
  <c r="Y7" i="6"/>
  <c r="Z107" i="6"/>
  <c r="Z82" i="6"/>
  <c r="Z55" i="6"/>
  <c r="Z30" i="6"/>
  <c r="Z66" i="6"/>
  <c r="Y87" i="6"/>
  <c r="Y15" i="6"/>
  <c r="Z65" i="6"/>
  <c r="Y118" i="6"/>
  <c r="Y86" i="6"/>
  <c r="Y14" i="6"/>
  <c r="Z84" i="6"/>
  <c r="Y117" i="6"/>
  <c r="Z31" i="6"/>
  <c r="Y115" i="6"/>
  <c r="Y99" i="6"/>
  <c r="Y80" i="6"/>
  <c r="Y64" i="6"/>
  <c r="Y45" i="6"/>
  <c r="Y28" i="6"/>
  <c r="Y6" i="6"/>
  <c r="Z105" i="6"/>
  <c r="Z81" i="6"/>
  <c r="Z53" i="6"/>
  <c r="Z29" i="6"/>
  <c r="S19" i="6"/>
  <c r="P24" i="6" s="1"/>
  <c r="P25" i="6" s="1"/>
  <c r="Z10" i="6"/>
  <c r="Y52" i="6"/>
  <c r="Z33" i="6"/>
  <c r="Y31" i="6"/>
  <c r="Z56" i="6"/>
  <c r="Y114" i="6"/>
  <c r="Y98" i="6"/>
  <c r="Y79" i="6"/>
  <c r="Y63" i="6"/>
  <c r="Y44" i="6"/>
  <c r="Y22" i="6"/>
  <c r="Y5" i="6"/>
  <c r="Z104" i="6"/>
  <c r="Z77" i="6"/>
  <c r="Z48" i="6"/>
  <c r="Z21" i="6"/>
  <c r="Z118" i="6"/>
  <c r="Z35" i="6"/>
  <c r="Y103" i="6"/>
  <c r="Y32" i="6"/>
  <c r="Z5" i="6"/>
  <c r="Y66" i="6"/>
  <c r="Y113" i="6"/>
  <c r="Y94" i="6"/>
  <c r="Y78" i="6"/>
  <c r="Y62" i="6"/>
  <c r="Y43" i="6"/>
  <c r="Y21" i="6"/>
  <c r="Y120" i="6"/>
  <c r="Z103" i="6"/>
  <c r="Z72" i="6"/>
  <c r="Z47" i="6"/>
  <c r="Z20" i="6"/>
  <c r="Z106" i="6"/>
  <c r="Z90" i="6"/>
  <c r="Z70" i="6"/>
  <c r="Z54" i="6"/>
  <c r="Z34" i="6"/>
  <c r="Z18" i="6"/>
  <c r="Z9" i="6"/>
  <c r="Y42" i="6"/>
  <c r="Y27" i="6"/>
  <c r="Y9" i="6"/>
  <c r="Z116" i="6"/>
  <c r="Z96" i="6"/>
  <c r="Z80" i="6"/>
  <c r="Z60" i="6"/>
  <c r="Z44" i="6"/>
  <c r="Z24" i="6"/>
  <c r="Z8" i="6"/>
  <c r="Y104" i="6"/>
  <c r="Y89" i="6"/>
  <c r="Y74" i="6"/>
  <c r="Y56" i="6"/>
  <c r="Y41" i="6"/>
  <c r="Y26" i="6"/>
  <c r="Y8" i="6"/>
  <c r="Z115" i="6"/>
  <c r="Z95" i="6"/>
  <c r="Z79" i="6"/>
  <c r="Z59" i="6"/>
  <c r="Z43" i="6"/>
  <c r="Z23" i="6"/>
  <c r="Z7" i="6"/>
  <c r="Z114" i="6"/>
  <c r="Z94" i="6"/>
  <c r="Z78" i="6"/>
  <c r="Z58" i="6"/>
  <c r="Z42" i="6"/>
  <c r="Z22" i="6"/>
  <c r="Z100" i="6"/>
  <c r="Z88" i="6"/>
  <c r="Z76" i="6"/>
  <c r="Z64" i="6"/>
  <c r="Z52" i="6"/>
  <c r="Z40" i="6"/>
  <c r="Z28" i="6"/>
  <c r="Z16" i="6"/>
  <c r="Y97" i="6"/>
  <c r="Y73" i="6"/>
  <c r="Y49" i="6"/>
  <c r="Y25" i="6"/>
  <c r="Z4" i="6"/>
  <c r="Z99" i="6"/>
  <c r="Z75" i="6"/>
  <c r="Z39" i="6"/>
  <c r="Z15" i="6"/>
  <c r="Y4" i="6"/>
  <c r="Y108" i="6"/>
  <c r="Y96" i="6"/>
  <c r="Y84" i="6"/>
  <c r="Y72" i="6"/>
  <c r="Y60" i="6"/>
  <c r="Y48" i="6"/>
  <c r="Y36" i="6"/>
  <c r="Y24" i="6"/>
  <c r="Y12" i="6"/>
  <c r="Z122" i="6"/>
  <c r="Z110" i="6"/>
  <c r="Z98" i="6"/>
  <c r="Z86" i="6"/>
  <c r="Z74" i="6"/>
  <c r="Z62" i="6"/>
  <c r="Z50" i="6"/>
  <c r="Z38" i="6"/>
  <c r="Z26" i="6"/>
  <c r="Z14" i="6"/>
  <c r="Z112" i="6"/>
  <c r="Y109" i="6"/>
  <c r="Y85" i="6"/>
  <c r="Y61" i="6"/>
  <c r="Y37" i="6"/>
  <c r="Y13" i="6"/>
  <c r="Z111" i="6"/>
  <c r="Z87" i="6"/>
  <c r="Z63" i="6"/>
  <c r="Z51" i="6"/>
  <c r="Z27" i="6"/>
  <c r="Y119" i="6"/>
  <c r="Y107" i="6"/>
  <c r="Y95" i="6"/>
  <c r="Y83" i="6"/>
  <c r="Y71" i="6"/>
  <c r="Y59" i="6"/>
  <c r="Y47" i="6"/>
  <c r="Y35" i="6"/>
  <c r="Y23" i="6"/>
  <c r="Z121" i="6"/>
  <c r="Z109" i="6"/>
  <c r="Z97" i="6"/>
  <c r="Z85" i="6"/>
  <c r="Z73" i="6"/>
  <c r="Z61" i="6"/>
  <c r="Z49" i="6"/>
  <c r="Z37" i="6"/>
  <c r="Z25" i="6"/>
  <c r="Z13" i="6"/>
  <c r="P7" i="6" l="1" a="1"/>
  <c r="P7" i="6" s="1"/>
  <c r="P8" i="6" a="1"/>
  <c r="P8" i="6" s="1"/>
  <c r="P10" i="6" l="1"/>
  <c r="P11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<sst xmlns="http://schemas.openxmlformats.org/spreadsheetml/2006/main" count="2317" uniqueCount="1738">
  <si>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</si>
  <si>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</si>
  <si>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</si>
  <si>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</si>
  <si>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</si>
  <si>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</si>
  <si>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</si>
  <si>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</si>
  <si>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</si>
  <si>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</si>
  <si>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</si>
  <si>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</si>
  <si>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</si>
  <si>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</si>
  <si>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</si>
  <si>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</si>
  <si>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</si>
  <si>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</si>
  <si>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</si>
  <si>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</si>
  <si>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</si>
  <si>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</si>
  <si>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</si>
  <si>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</si>
  <si>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</si>
  <si>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</si>
  <si>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</si>
  <si>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</si>
  <si>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</si>
  <si>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</si>
  <si>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</si>
  <si>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</si>
  <si>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</si>
  <si>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</si>
  <si>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</si>
  <si>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</si>
  <si>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</si>
  <si>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</si>
  <si>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</si>
  <si>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</si>
  <si>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</si>
  <si>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</si>
  <si>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</si>
  <si>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</si>
  <si>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</si>
  <si>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</si>
  <si>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</si>
  <si>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</si>
  <si>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</si>
  <si>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</si>
  <si>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</si>
  <si>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</si>
  <si>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</si>
  <si>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</si>
  <si>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</si>
  <si>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</si>
  <si>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</si>
  <si>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</si>
  <si>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</si>
  <si>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</si>
  <si>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</si>
  <si>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</si>
  <si>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</si>
  <si>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</si>
  <si>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</si>
  <si>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</si>
  <si>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</si>
  <si>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</si>
  <si>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</si>
  <si>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</si>
  <si>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</si>
  <si>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</si>
  <si>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</si>
  <si>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</si>
  <si>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</si>
  <si>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</si>
  <si>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</si>
  <si>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</si>
  <si>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</si>
  <si>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</si>
  <si>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</si>
  <si>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</si>
  <si>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</si>
  <si>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</si>
  <si>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</si>
  <si>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</si>
  <si>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</si>
  <si>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</si>
  <si>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</si>
  <si>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</si>
  <si>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</si>
  <si>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</si>
  <si>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</si>
  <si>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</si>
  <si>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</si>
  <si>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</si>
  <si>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</si>
  <si>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</si>
  <si>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</si>
  <si>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</si>
  <si>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</si>
  <si>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</si>
  <si>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</si>
  <si>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</si>
  <si>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</si>
  <si>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</si>
  <si>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</si>
  <si>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</si>
  <si>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</si>
  <si>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</si>
  <si>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</si>
  <si>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</si>
  <si>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</si>
  <si>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</si>
  <si>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</si>
  <si>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</si>
  <si>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</si>
  <si>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</si>
  <si>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</si>
  <si>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</si>
  <si>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</si>
  <si>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</si>
  <si>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</si>
  <si>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</si>
  <si>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</si>
  <si>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</si>
  <si>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</si>
  <si>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</si>
  <si>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</si>
  <si>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</si>
  <si>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</si>
  <si>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</si>
  <si>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</si>
  <si>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</si>
  <si>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</si>
  <si>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</si>
  <si>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</si>
  <si>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</si>
  <si>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</si>
  <si>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</si>
  <si>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</si>
  <si>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</si>
  <si>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</si>
  <si>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</si>
  <si>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</si>
  <si>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</si>
  <si>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</si>
  <si>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</si>
  <si>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</si>
  <si>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</si>
  <si>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</si>
  <si>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</si>
  <si>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</si>
  <si>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</si>
  <si>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</si>
  <si>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</si>
  <si>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</si>
  <si>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</si>
  <si>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</si>
  <si>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</si>
  <si>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</si>
  <si>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</si>
  <si>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</si>
  <si>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</si>
  <si>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</si>
  <si>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</si>
  <si>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</si>
  <si>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</si>
  <si>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</si>
  <si>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</si>
  <si>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</si>
  <si>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</si>
  <si>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</si>
  <si>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</si>
  <si>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</si>
  <si>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</si>
  <si>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</si>
  <si>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</si>
  <si>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</si>
  <si>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</si>
  <si>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</si>
  <si>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</si>
  <si>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</si>
  <si>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</si>
  <si>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</si>
  <si>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</si>
  <si>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</si>
  <si>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</si>
  <si>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</si>
  <si>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</si>
  <si>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</si>
  <si>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</si>
  <si>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</si>
  <si>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</si>
  <si>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</si>
  <si>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</si>
  <si>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</si>
  <si>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</si>
  <si>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</si>
  <si>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</si>
  <si>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</si>
  <si>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</si>
  <si>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</si>
  <si>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</si>
  <si>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</si>
  <si>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</si>
  <si>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</si>
  <si>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</si>
  <si>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</si>
  <si>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</si>
  <si>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</si>
  <si>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</si>
  <si>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</si>
  <si>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</si>
  <si>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</si>
  <si>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</si>
  <si>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</si>
  <si>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</si>
  <si>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</si>
  <si>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</si>
  <si>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</si>
  <si>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</si>
  <si>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</si>
  <si>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</si>
  <si>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</si>
  <si>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</si>
  <si>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</si>
  <si>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</si>
  <si>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</si>
  <si>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</si>
  <si>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</si>
  <si>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</si>
  <si>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</si>
  <si>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</si>
  <si>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</si>
  <si>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</si>
  <si>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</si>
  <si>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</si>
  <si>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</si>
  <si>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</si>
  <si>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</si>
  <si>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</si>
  <si>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</si>
  <si>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</si>
  <si>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</si>
  <si>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</si>
  <si>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</si>
  <si>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</si>
  <si>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</si>
  <si>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</si>
  <si>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</si>
  <si>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</si>
  <si>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</si>
  <si>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</si>
  <si>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</si>
  <si>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</si>
  <si>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</si>
  <si>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</si>
  <si>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</si>
  <si>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</si>
  <si>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</si>
  <si>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</si>
  <si>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</si>
  <si>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</si>
  <si>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</si>
  <si>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</si>
  <si>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</si>
  <si>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</si>
  <si>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</si>
  <si>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</si>
  <si>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</si>
  <si>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</si>
  <si>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</si>
  <si>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</si>
  <si>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</si>
  <si>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</si>
  <si>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</si>
  <si>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</si>
  <si>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</si>
  <si>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</si>
  <si>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</si>
  <si>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</si>
  <si>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</si>
  <si>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</si>
  <si>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</si>
  <si>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</si>
  <si>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</si>
  <si>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</si>
  <si>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</si>
  <si>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</si>
  <si>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</si>
  <si>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</si>
  <si>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</si>
  <si>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</si>
  <si>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</si>
  <si>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</si>
  <si>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</si>
  <si>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</si>
  <si>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</si>
  <si>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</si>
  <si>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</si>
  <si>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</si>
  <si>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</si>
  <si>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</si>
  <si>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</si>
  <si>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</si>
  <si>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</si>
  <si>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</si>
  <si>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</si>
  <si>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</si>
  <si>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</si>
  <si>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</si>
  <si>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</si>
  <si>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</si>
  <si>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</si>
  <si>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</si>
  <si>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</si>
  <si>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</si>
  <si>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</si>
  <si>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</si>
  <si>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</si>
  <si>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</si>
  <si>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</si>
  <si>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</si>
  <si>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</si>
  <si>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</si>
  <si>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</si>
  <si>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</si>
  <si>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</si>
  <si>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</si>
  <si>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</si>
  <si>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</si>
  <si>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</si>
  <si>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</si>
  <si>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</si>
  <si>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</si>
  <si>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</si>
  <si>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</si>
  <si>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</si>
  <si>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</si>
  <si>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</si>
  <si>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</si>
  <si>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</si>
  <si>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</si>
  <si>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</si>
  <si>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</si>
  <si>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</si>
  <si>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</si>
  <si>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</si>
  <si>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</si>
  <si>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</si>
  <si>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</si>
  <si>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</si>
  <si>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</si>
  <si>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</si>
  <si>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</si>
  <si>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</si>
  <si>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</si>
  <si>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</si>
  <si>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</si>
  <si>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</si>
  <si>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</si>
  <si>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</si>
  <si>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</si>
  <si>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</si>
  <si>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</si>
  <si>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</si>
  <si>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</si>
  <si>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</si>
  <si>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</si>
  <si>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</si>
  <si>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</si>
  <si>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</si>
  <si>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</si>
  <si>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</si>
  <si>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</si>
  <si>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</si>
  <si>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</si>
  <si>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</si>
  <si>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</si>
  <si>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</si>
  <si>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</si>
  <si>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</si>
  <si>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</si>
  <si>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</si>
  <si>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</si>
  <si>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</si>
  <si>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</si>
  <si>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</si>
  <si>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</si>
  <si>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</si>
  <si>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</si>
  <si>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</si>
  <si>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</si>
  <si>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</si>
  <si>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</si>
  <si>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</si>
  <si>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</si>
  <si>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</si>
  <si>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</si>
  <si>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</si>
  <si>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</si>
  <si>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</si>
  <si>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</si>
  <si>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</si>
  <si>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</si>
  <si>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</si>
  <si>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</si>
  <si>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</si>
  <si>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</si>
  <si>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</si>
  <si>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</si>
  <si>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</si>
  <si>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</si>
  <si>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</si>
  <si>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</si>
  <si>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</si>
  <si>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</si>
  <si>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</si>
  <si>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</si>
  <si>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</si>
  <si>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</si>
  <si>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</si>
  <si>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</si>
  <si>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</si>
  <si>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</si>
  <si>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</si>
  <si>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</si>
  <si>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</si>
  <si>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</si>
  <si>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</si>
  <si>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</si>
  <si>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</si>
  <si>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</si>
  <si>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</si>
  <si>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</si>
  <si>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</si>
  <si>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</si>
  <si>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</si>
  <si>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</si>
  <si>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</si>
  <si>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</si>
  <si>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</si>
  <si>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</si>
  <si>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</si>
  <si>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</si>
  <si>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</si>
  <si>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</si>
  <si>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</si>
  <si>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</si>
  <si>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</si>
  <si>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</si>
  <si>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</si>
  <si>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</si>
  <si>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</si>
  <si>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</si>
  <si>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</si>
  <si>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</si>
  <si>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</si>
  <si>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</si>
  <si>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</si>
  <si>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</si>
  <si>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</si>
  <si>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</si>
  <si>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</si>
  <si>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</si>
  <si>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</si>
  <si>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</si>
  <si>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</si>
  <si>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</si>
  <si>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</si>
  <si>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</si>
  <si>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</si>
  <si>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</si>
  <si>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</si>
  <si>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</si>
  <si>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</si>
  <si>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</si>
  <si>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</si>
  <si>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</si>
  <si>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</si>
  <si>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</si>
  <si>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</si>
  <si>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</si>
  <si>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</si>
  <si>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</si>
  <si>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</si>
  <si>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</si>
  <si>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</si>
  <si>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</si>
  <si>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</si>
  <si>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</si>
  <si>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</si>
  <si>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</si>
  <si>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</si>
  <si>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</si>
  <si>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</si>
  <si>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</si>
  <si>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</si>
  <si>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</si>
  <si>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</si>
  <si>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</si>
  <si>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</si>
  <si>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</si>
  <si>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</si>
  <si>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</si>
  <si>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</si>
  <si>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</si>
  <si>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</si>
  <si>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</si>
  <si>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</si>
  <si>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</si>
  <si>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</si>
  <si>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</si>
  <si>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</si>
  <si>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</si>
  <si>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</si>
  <si>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</si>
  <si>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</si>
  <si>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</si>
  <si>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</si>
  <si>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</si>
  <si>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</si>
  <si>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</si>
  <si>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</si>
  <si>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</si>
  <si>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</si>
  <si>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</si>
  <si>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</si>
  <si>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</si>
  <si>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</si>
  <si>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</si>
  <si>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</si>
  <si>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</si>
  <si>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</si>
  <si>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</si>
  <si>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</si>
  <si>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</si>
  <si>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</si>
  <si>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</si>
  <si>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</si>
  <si>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</si>
  <si>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</si>
  <si>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</si>
  <si>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</si>
  <si>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</si>
  <si>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</si>
  <si>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</si>
  <si>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</si>
  <si>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</si>
  <si>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</si>
  <si>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</si>
  <si>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</si>
  <si>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</si>
  <si>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</si>
  <si>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</si>
  <si>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</si>
  <si>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</si>
  <si>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</si>
  <si>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</si>
  <si>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</si>
  <si>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</si>
  <si>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</si>
  <si>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</si>
  <si>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</si>
  <si>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</si>
  <si>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</si>
  <si>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</si>
  <si>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</si>
  <si>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</si>
  <si>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</si>
  <si>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</si>
  <si>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</si>
  <si>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</si>
  <si>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</si>
  <si>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</si>
  <si>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</si>
  <si>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</si>
  <si>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</si>
  <si>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</si>
  <si>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</si>
  <si>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</si>
  <si>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</si>
  <si>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</si>
  <si>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</si>
  <si>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</si>
  <si>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</si>
  <si>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</si>
  <si>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</si>
  <si>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</si>
  <si>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</si>
  <si>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</si>
  <si>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</si>
  <si>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</si>
  <si>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</si>
  <si>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</si>
  <si>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</si>
  <si>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</si>
  <si>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</si>
  <si>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</si>
  <si>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</si>
  <si>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</si>
  <si>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</si>
  <si>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</si>
  <si>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</si>
  <si>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</si>
  <si>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</si>
  <si>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</si>
  <si>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</si>
  <si>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</si>
  <si>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</si>
  <si>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</si>
  <si>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</si>
  <si>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</si>
  <si>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</si>
  <si>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</si>
  <si>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</si>
  <si>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</si>
  <si>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</si>
  <si>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</si>
  <si>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</si>
  <si>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</si>
  <si>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</si>
  <si>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</si>
  <si>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</si>
  <si>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</si>
  <si>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</si>
  <si>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</si>
  <si>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</si>
  <si>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</si>
  <si>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</si>
  <si>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</si>
  <si>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</si>
  <si>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</si>
  <si>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</si>
  <si>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</si>
  <si>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</si>
  <si>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</si>
  <si>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</si>
  <si>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</si>
  <si>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</si>
  <si>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</si>
  <si>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</si>
  <si>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</si>
  <si>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</si>
  <si>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</si>
  <si>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</si>
  <si>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</si>
  <si>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</si>
  <si>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</si>
  <si>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</si>
  <si>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</si>
  <si>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</si>
  <si>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</si>
  <si>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</si>
  <si>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</si>
  <si>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</si>
  <si>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</si>
  <si>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</si>
  <si>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</si>
  <si>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</si>
  <si>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</si>
  <si>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</si>
  <si>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</si>
  <si>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</si>
  <si>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</si>
  <si>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</si>
  <si>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</si>
  <si>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</si>
  <si>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</si>
  <si>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</si>
  <si>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</si>
  <si>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</si>
  <si>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</si>
  <si>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</si>
  <si>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</si>
  <si>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</si>
  <si>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</si>
  <si>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</si>
  <si>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</si>
  <si>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</si>
  <si>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</si>
  <si>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</si>
  <si>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</si>
  <si>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</si>
  <si>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</si>
  <si>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</si>
  <si>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</si>
  <si>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</si>
  <si>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</si>
  <si>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</si>
  <si>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</si>
  <si>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</si>
  <si>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</si>
  <si>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</si>
  <si>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</si>
  <si>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</si>
  <si>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</si>
  <si>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</si>
  <si>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</si>
  <si>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</si>
  <si>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</si>
  <si>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</si>
  <si>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</si>
  <si>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</si>
  <si>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</si>
  <si>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</si>
  <si>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</si>
  <si>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</si>
  <si>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</si>
  <si>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</si>
  <si>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</si>
  <si>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</si>
  <si>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</si>
  <si>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</si>
  <si>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</si>
  <si>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</si>
  <si>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</si>
  <si>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</si>
  <si>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</si>
  <si>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</si>
  <si>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</si>
  <si>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</si>
  <si>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</si>
  <si>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</si>
  <si>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</si>
  <si>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</si>
  <si>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</si>
  <si>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</si>
  <si>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</si>
  <si>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</si>
  <si>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</si>
  <si>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</si>
  <si>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</si>
  <si>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</si>
  <si>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</si>
  <si>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</si>
  <si>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</si>
  <si>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</si>
  <si>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</si>
  <si>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</si>
  <si>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</si>
  <si>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</si>
  <si>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</si>
  <si>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</si>
  <si>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</si>
  <si>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</si>
  <si>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</si>
  <si>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</si>
  <si>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</si>
  <si>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</si>
  <si>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</si>
  <si>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</si>
  <si>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</si>
  <si>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</si>
  <si>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</si>
  <si>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</si>
  <si>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</si>
  <si>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</si>
  <si>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</si>
  <si>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</si>
  <si>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</si>
  <si>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</si>
  <si>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</si>
  <si>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</si>
  <si>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</si>
  <si>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</si>
  <si>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</si>
  <si>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</si>
  <si>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</si>
  <si>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</si>
  <si>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</si>
  <si>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</si>
  <si>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</si>
  <si>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</si>
  <si>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</si>
  <si>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</si>
  <si>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</si>
  <si>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</si>
  <si>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</si>
  <si>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</si>
  <si>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</si>
  <si>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</si>
  <si>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</si>
  <si>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</si>
  <si>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</si>
  <si>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</si>
  <si>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</si>
  <si>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</si>
  <si>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</si>
  <si>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</si>
  <si>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</si>
  <si>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</si>
  <si>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</si>
  <si>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</si>
  <si>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</si>
  <si>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</si>
  <si>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</si>
  <si>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</si>
  <si>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</si>
  <si>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</si>
  <si>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</si>
  <si>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</si>
  <si>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</si>
  <si>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</si>
  <si>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</si>
  <si>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</si>
  <si>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</si>
  <si>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</si>
  <si>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</si>
  <si>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</si>
  <si>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</si>
  <si>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</si>
  <si>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</si>
  <si>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</si>
  <si>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</si>
  <si>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</si>
  <si>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</si>
  <si>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</si>
  <si>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</si>
  <si>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</si>
  <si>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</si>
  <si>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</si>
  <si>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</si>
  <si>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</si>
  <si>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</si>
  <si>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</si>
  <si>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</si>
  <si>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</si>
  <si>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</si>
  <si>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</si>
  <si>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</si>
  <si>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</si>
  <si>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</si>
  <si>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</si>
  <si>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</si>
  <si>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</si>
  <si>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</si>
  <si>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</si>
  <si>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</si>
  <si>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</si>
  <si>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</si>
  <si>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</si>
  <si>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</si>
  <si>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</si>
  <si>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</si>
  <si>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</si>
  <si>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</si>
  <si>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</si>
  <si>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</si>
  <si>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</si>
  <si>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</si>
  <si>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</si>
  <si>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</si>
  <si>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</si>
  <si>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</si>
  <si>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</si>
  <si>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</si>
  <si>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</si>
  <si>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</si>
  <si>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</si>
  <si>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</si>
  <si>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</si>
  <si>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</si>
  <si>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</si>
  <si>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</si>
  <si>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</si>
  <si>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</si>
  <si>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</si>
  <si>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</si>
  <si>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</si>
  <si>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</si>
  <si>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</si>
  <si>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</si>
  <si>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</si>
  <si>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</si>
  <si>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</si>
  <si>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</si>
  <si>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</si>
  <si>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</si>
  <si>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</si>
  <si>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</si>
  <si>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</si>
  <si>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</si>
  <si>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</si>
  <si>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</si>
  <si>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</si>
  <si>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</si>
  <si>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</si>
  <si>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</si>
  <si>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</si>
  <si>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</si>
  <si>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</si>
  <si>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</si>
  <si>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</si>
  <si>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</si>
  <si>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</si>
  <si>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</si>
  <si>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</si>
  <si>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</si>
  <si>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</si>
  <si>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</si>
  <si>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</si>
  <si>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</si>
  <si>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</si>
  <si>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</si>
  <si>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</si>
  <si>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</si>
  <si>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</si>
  <si>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</si>
  <si>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</si>
  <si>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</si>
  <si>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</si>
  <si>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</si>
  <si>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</si>
  <si>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</si>
  <si>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</si>
  <si>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</si>
  <si>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</si>
  <si>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</si>
  <si>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</si>
  <si>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</si>
  <si>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</si>
  <si>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</si>
  <si>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</si>
  <si>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</si>
  <si>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</si>
  <si>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</si>
  <si>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</si>
  <si>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</si>
  <si>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</si>
  <si>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</si>
  <si>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</si>
  <si>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</si>
  <si>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</si>
  <si>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</si>
  <si>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</si>
  <si>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</si>
  <si>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</si>
  <si>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</si>
  <si>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</si>
  <si>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</si>
  <si>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</si>
  <si>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</si>
  <si>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</si>
  <si>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</si>
  <si>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</si>
  <si>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</si>
  <si>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</si>
  <si>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</si>
  <si>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</si>
  <si>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</si>
  <si>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</si>
  <si>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</si>
  <si>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</si>
  <si>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</si>
  <si>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</si>
  <si>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</si>
  <si>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</si>
  <si>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</si>
  <si>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</si>
  <si>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</si>
  <si>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</si>
  <si>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</si>
  <si>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</si>
  <si>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</si>
  <si>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</si>
  <si>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</si>
  <si>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</si>
  <si>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</si>
  <si>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</si>
  <si>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</si>
  <si>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</si>
  <si>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</si>
  <si>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</si>
  <si>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</si>
  <si>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</si>
  <si>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</si>
  <si>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</si>
  <si>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</si>
  <si>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</si>
  <si>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</si>
  <si>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</si>
  <si>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</si>
  <si>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</si>
  <si>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</si>
  <si>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</si>
  <si>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</si>
  <si>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</si>
  <si>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</si>
  <si>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</si>
  <si>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</si>
  <si>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</si>
  <si>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</si>
  <si>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</si>
  <si>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</si>
  <si>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</si>
  <si>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</si>
  <si>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</si>
  <si>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</si>
  <si>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</si>
  <si>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</si>
  <si>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</si>
  <si>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</si>
  <si>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</si>
  <si>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</si>
  <si>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</si>
  <si>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</si>
  <si>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</si>
  <si>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</si>
  <si>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</si>
  <si>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</si>
  <si>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</si>
  <si>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</si>
  <si>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</si>
  <si>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</si>
  <si>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</si>
  <si>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</si>
  <si>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</si>
  <si>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</si>
  <si>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</si>
  <si>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</si>
  <si>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</si>
  <si>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</si>
  <si>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</si>
  <si>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</si>
  <si>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</si>
  <si>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</si>
  <si>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</si>
  <si>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</si>
  <si>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</si>
  <si>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</si>
  <si>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</si>
  <si>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</si>
  <si>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</si>
  <si>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</si>
  <si>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</si>
  <si>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</si>
  <si>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</si>
  <si>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</si>
  <si>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</si>
  <si>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</si>
  <si>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</si>
  <si>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</si>
  <si>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</si>
  <si>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</si>
  <si>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</si>
  <si>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</si>
  <si>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</si>
  <si>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</si>
  <si>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</si>
  <si>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</si>
  <si>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</si>
  <si>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</si>
  <si>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</si>
  <si>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</si>
  <si>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</si>
  <si>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</si>
  <si>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</si>
  <si>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</si>
  <si>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</si>
  <si>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</si>
  <si>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</si>
  <si>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</si>
  <si>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</si>
  <si>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</si>
  <si>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</si>
  <si>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</si>
  <si>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</si>
  <si>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</si>
  <si>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</si>
  <si>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</si>
  <si>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</si>
  <si>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</si>
  <si>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</si>
  <si>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</si>
  <si>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</si>
  <si>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</si>
  <si>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</si>
  <si>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</si>
  <si>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</si>
  <si>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</si>
  <si>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</si>
  <si>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</si>
  <si>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</si>
  <si>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</si>
  <si>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</si>
  <si>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</si>
  <si>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</si>
  <si>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</si>
  <si>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</si>
  <si>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</si>
  <si>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</si>
  <si>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</si>
  <si>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</si>
  <si>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</si>
  <si>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</si>
  <si>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</si>
  <si>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</si>
  <si>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</si>
  <si>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</si>
  <si>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</si>
  <si>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</si>
  <si>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</si>
  <si>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</si>
  <si>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</si>
  <si>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</si>
  <si>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</si>
  <si>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</si>
  <si>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</si>
  <si>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</si>
  <si>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</si>
  <si>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</si>
  <si>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</si>
  <si>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</si>
  <si>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</si>
  <si>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</si>
  <si>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</si>
  <si>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</si>
  <si>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</si>
  <si>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</si>
  <si>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</si>
  <si>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</si>
  <si>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</si>
  <si>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</si>
  <si>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</si>
  <si>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</si>
  <si>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</si>
  <si>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</si>
  <si>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</si>
  <si>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</si>
  <si>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</si>
  <si>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</si>
  <si>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</si>
  <si>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</si>
  <si>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</si>
  <si>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</si>
  <si>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</si>
  <si>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</si>
  <si>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</si>
  <si>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</si>
  <si>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</si>
  <si>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</si>
  <si>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</si>
  <si>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</si>
  <si>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</si>
  <si>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</si>
  <si>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</si>
  <si>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</si>
  <si>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</si>
  <si>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</si>
  <si>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</si>
  <si>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</si>
  <si>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</si>
  <si>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</si>
  <si>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</si>
  <si>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</si>
  <si>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</si>
  <si>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</si>
  <si>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</si>
  <si>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</si>
  <si>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</si>
  <si>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</si>
  <si>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</si>
  <si>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</si>
  <si>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</si>
  <si>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</si>
  <si>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</si>
  <si>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</si>
  <si>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</si>
  <si>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</si>
  <si>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</si>
  <si>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</si>
  <si>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</si>
  <si>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</si>
  <si>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</si>
  <si>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</si>
  <si>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</si>
  <si>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</si>
  <si>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</si>
  <si>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</si>
  <si>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</si>
  <si>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</si>
  <si>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</si>
  <si>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</si>
  <si>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</si>
  <si>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</si>
  <si>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</si>
  <si>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</si>
  <si>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</si>
  <si>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</si>
  <si>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</si>
  <si>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</si>
  <si>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</si>
  <si>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</si>
  <si>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</si>
  <si>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</si>
  <si>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</si>
  <si>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</si>
  <si>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</si>
  <si>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</si>
  <si>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</si>
  <si>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</si>
  <si>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</si>
  <si>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</si>
  <si>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</si>
  <si>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</si>
  <si>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</si>
  <si>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</si>
  <si>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</si>
  <si>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</si>
  <si>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</si>
  <si>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</si>
  <si>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</si>
  <si>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</si>
  <si>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</si>
  <si>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</si>
  <si>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</si>
  <si>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</si>
  <si>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</si>
  <si>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</si>
  <si>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</si>
  <si>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</si>
  <si>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</si>
  <si>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</si>
  <si>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</si>
  <si>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</si>
  <si>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</si>
  <si>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</si>
  <si>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</si>
  <si>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</si>
  <si>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</si>
  <si>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</si>
  <si>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</si>
  <si>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</si>
  <si>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</si>
  <si>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</si>
  <si>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</si>
  <si>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</si>
  <si>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</si>
  <si>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</si>
  <si>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</si>
  <si>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</si>
  <si>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</si>
  <si>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</si>
  <si>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</si>
  <si>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</si>
  <si>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</si>
  <si>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</si>
  <si>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</si>
  <si>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</si>
  <si>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</si>
  <si>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</si>
  <si>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</si>
  <si>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</si>
  <si>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</si>
  <si>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</si>
  <si>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</si>
  <si>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</si>
  <si>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</si>
  <si>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</si>
  <si>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</si>
  <si>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</si>
  <si>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</si>
  <si>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</si>
  <si>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</si>
  <si>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</si>
  <si>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</si>
  <si>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</si>
  <si>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</si>
  <si>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</si>
  <si>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</si>
  <si>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</si>
  <si>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</si>
  <si>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</si>
  <si>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</si>
  <si>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</si>
  <si>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</si>
  <si>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</si>
  <si>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</si>
  <si>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</si>
  <si>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</si>
  <si>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</si>
  <si>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</si>
  <si>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</si>
  <si>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</si>
  <si>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</si>
  <si>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</si>
  <si>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</si>
  <si>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</si>
  <si>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</si>
  <si>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</si>
  <si>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</si>
  <si>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</si>
  <si>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</si>
  <si>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</si>
  <si>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</si>
  <si>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</si>
  <si>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</si>
  <si>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</si>
  <si>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</si>
  <si>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</si>
  <si>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</si>
  <si>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</si>
  <si>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</si>
  <si>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</si>
  <si>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</si>
  <si>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</si>
  <si>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</si>
  <si>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</si>
  <si>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</si>
  <si>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</si>
  <si>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</si>
  <si>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</si>
  <si>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</si>
  <si>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</si>
  <si>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</si>
  <si>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</si>
  <si>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</si>
  <si>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</si>
  <si>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</si>
  <si>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</si>
  <si>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</si>
  <si>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</si>
  <si>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</si>
  <si>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</si>
  <si>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</si>
  <si>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</si>
  <si>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</si>
  <si>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</si>
  <si>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</si>
  <si>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</si>
  <si>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</si>
  <si>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</si>
  <si>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</si>
  <si>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</si>
  <si>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</si>
  <si>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</si>
  <si>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</si>
  <si>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</si>
  <si>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</si>
  <si>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</si>
  <si>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</si>
  <si>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</si>
  <si>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</si>
  <si>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</si>
  <si>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</si>
  <si>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</si>
  <si>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</si>
  <si>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</si>
  <si>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</si>
  <si>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</si>
  <si>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</si>
  <si>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</si>
  <si>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</si>
  <si>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</si>
  <si>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</si>
  <si>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</si>
  <si>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</si>
  <si>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</si>
  <si>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</si>
  <si>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</si>
  <si>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</si>
  <si>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</si>
  <si>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</si>
  <si>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</si>
  <si>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</si>
  <si>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</si>
  <si>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</si>
  <si>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</si>
  <si>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</si>
  <si>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</si>
  <si>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</si>
  <si>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</si>
  <si>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</si>
  <si>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</si>
  <si>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</si>
  <si>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</si>
  <si>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</si>
  <si>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</si>
  <si>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</si>
  <si>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</si>
  <si>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</si>
  <si>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</si>
  <si>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</si>
  <si>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</si>
  <si>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</si>
  <si>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</si>
  <si>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</si>
  <si>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</si>
  <si>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</si>
  <si>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</si>
  <si>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</si>
  <si>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</si>
  <si>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</si>
  <si>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</si>
  <si>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</si>
  <si>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</si>
  <si>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</si>
  <si>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</si>
  <si>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</si>
  <si>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</si>
  <si>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</si>
  <si>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</si>
  <si>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</si>
  <si>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</si>
  <si>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</si>
  <si>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</si>
  <si>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</si>
  <si>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</si>
  <si>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</si>
  <si>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</si>
  <si>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</si>
  <si>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</si>
  <si>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</si>
  <si>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</si>
  <si>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</si>
  <si>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</si>
  <si>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</si>
  <si>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</si>
  <si>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</si>
  <si>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</si>
  <si>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</si>
  <si>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</si>
  <si>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</si>
  <si>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</si>
  <si>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</si>
  <si>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</si>
  <si>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</si>
  <si>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</si>
  <si>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</si>
  <si>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</si>
  <si>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</si>
  <si>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</si>
  <si>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</si>
  <si>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</si>
  <si>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</si>
  <si>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</si>
  <si>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</si>
  <si>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</si>
  <si>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</si>
  <si>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</si>
  <si>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</si>
  <si>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</si>
  <si>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</si>
  <si>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</si>
  <si>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</si>
  <si>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</si>
  <si>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</si>
  <si>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</si>
  <si>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</si>
  <si>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</si>
  <si>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</si>
  <si>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</si>
  <si>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</si>
  <si>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</si>
  <si>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</si>
  <si>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</si>
  <si>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</si>
  <si>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</si>
  <si>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</si>
  <si>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</si>
  <si>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</si>
  <si>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</si>
  <si>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</si>
  <si>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</si>
  <si>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</si>
  <si>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</si>
  <si>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</si>
  <si>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</si>
  <si>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</si>
  <si>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</si>
  <si>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</si>
  <si>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</si>
  <si>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</si>
  <si>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</si>
  <si>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</si>
  <si>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</si>
  <si>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</si>
  <si>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</si>
  <si>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</si>
  <si>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</si>
  <si>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</si>
  <si>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</si>
  <si>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</si>
  <si>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</si>
  <si>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</si>
  <si>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</si>
  <si>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</si>
  <si>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</si>
  <si>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</si>
  <si>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</si>
  <si>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</si>
  <si>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</si>
  <si>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</si>
  <si>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</si>
  <si>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</si>
  <si>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</si>
  <si>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</si>
  <si>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</si>
  <si>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</si>
  <si>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</si>
  <si>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</si>
  <si>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</si>
  <si>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</si>
  <si>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</si>
  <si>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</si>
  <si>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</si>
  <si>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</si>
  <si>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</si>
  <si>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</si>
  <si>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</si>
  <si>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</si>
  <si>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</si>
  <si>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</si>
  <si>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</si>
  <si>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</si>
  <si>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</si>
  <si>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</si>
  <si>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</si>
  <si>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</si>
  <si>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</si>
  <si>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</si>
  <si>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</si>
  <si>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</si>
  <si>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</si>
  <si>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</si>
  <si>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</si>
  <si>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</si>
  <si>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</si>
  <si>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</si>
  <si>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</si>
  <si>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</si>
  <si>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</si>
  <si>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</si>
  <si>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</si>
  <si>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</si>
  <si>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</si>
  <si>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</si>
  <si>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</si>
  <si>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</si>
  <si>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</si>
  <si>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</si>
  <si>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</si>
  <si>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</si>
  <si>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</si>
  <si>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</si>
  <si>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</si>
  <si>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</si>
  <si>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</si>
  <si>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</si>
  <si>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</si>
  <si>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</si>
  <si>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</si>
  <si>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</si>
  <si>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</si>
  <si>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</si>
  <si>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</si>
  <si>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</si>
  <si>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</si>
  <si>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</si>
  <si>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</si>
  <si>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</si>
  <si>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</si>
  <si>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</si>
  <si>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</si>
  <si>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</si>
  <si>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</si>
  <si>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</si>
  <si>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</si>
  <si>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</si>
  <si>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</si>
  <si>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</si>
  <si>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</si>
  <si>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</si>
  <si>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</si>
  <si>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</si>
  <si>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</si>
  <si>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</si>
  <si>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</si>
  <si>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</si>
  <si>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</si>
  <si>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</si>
  <si>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</si>
  <si>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</si>
  <si>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</si>
  <si>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</si>
  <si>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</si>
  <si>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</si>
  <si>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</si>
  <si>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</si>
  <si>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</si>
  <si>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</si>
  <si>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</si>
  <si>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</si>
  <si>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</si>
  <si>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</si>
  <si>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</si>
  <si>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</si>
  <si>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</si>
  <si>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</si>
  <si>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</si>
  <si>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</si>
  <si>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</si>
  <si>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</si>
  <si>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</si>
  <si>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</si>
  <si>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</si>
  <si>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</si>
  <si>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</si>
  <si>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</si>
  <si>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</si>
  <si>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</si>
  <si>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</si>
  <si>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</si>
  <si>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</si>
  <si>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</si>
  <si>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</si>
  <si>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</si>
  <si>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</si>
  <si>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</si>
  <si>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</si>
  <si>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</si>
  <si>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</si>
  <si>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</si>
  <si>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</si>
  <si>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</si>
  <si>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</si>
  <si>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</si>
  <si>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</si>
  <si>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</si>
  <si>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</si>
  <si>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</si>
  <si>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</si>
  <si>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</si>
  <si>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</si>
  <si>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</si>
  <si>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</si>
  <si>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</si>
  <si>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</si>
  <si>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</si>
  <si>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</si>
  <si>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</si>
  <si>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</si>
  <si>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</si>
  <si>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</si>
  <si>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</si>
  <si>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</si>
  <si>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</si>
  <si>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</si>
  <si>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</si>
  <si>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</si>
  <si>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</si>
  <si>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</si>
  <si>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</si>
  <si>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</si>
  <si>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</si>
  <si>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</si>
  <si>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</si>
  <si>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</si>
  <si>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</si>
  <si>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</si>
  <si>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</si>
  <si>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</si>
  <si>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</si>
  <si>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</si>
  <si>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</si>
  <si>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</si>
  <si>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</si>
  <si>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</si>
  <si>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</si>
  <si>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</si>
  <si>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</si>
  <si>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</si>
  <si>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</si>
  <si>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</si>
  <si>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</si>
  <si>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</si>
  <si>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</si>
  <si>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</si>
  <si>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</si>
  <si>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</si>
  <si>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</si>
  <si>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</si>
  <si>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</si>
  <si>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</si>
  <si>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</si>
  <si>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</si>
  <si>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</si>
  <si>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</si>
  <si>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</si>
  <si>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</si>
  <si>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</si>
  <si>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</si>
  <si>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</si>
  <si>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</si>
  <si>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</si>
  <si>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</si>
  <si>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</si>
  <si>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</si>
  <si>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</si>
  <si>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</si>
  <si>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</si>
  <si>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</si>
  <si>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</si>
  <si>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Mencari B1 dan B0</t>
  </si>
  <si>
    <t>Y = IPM</t>
  </si>
  <si>
    <t>X1 = Rata-rata lama sekolah</t>
  </si>
  <si>
    <t xml:space="preserve">Pembentukan model </t>
  </si>
  <si>
    <t>sum y</t>
  </si>
  <si>
    <t>sum x1</t>
  </si>
  <si>
    <t>sum(y*x1)</t>
  </si>
  <si>
    <t>n</t>
  </si>
  <si>
    <t>sum x1^2</t>
  </si>
  <si>
    <t>sum(x1)^2</t>
  </si>
  <si>
    <t>mean y</t>
  </si>
  <si>
    <t>mean x1</t>
  </si>
  <si>
    <t>(xi-xbar)</t>
  </si>
  <si>
    <t>(yi-ybar)</t>
  </si>
  <si>
    <t>Sxy</t>
  </si>
  <si>
    <t>Sxx</t>
  </si>
  <si>
    <t>B1 topi</t>
  </si>
  <si>
    <t>B0 topi</t>
  </si>
  <si>
    <t>b1</t>
  </si>
  <si>
    <t>b0</t>
  </si>
  <si>
    <t>Model Linear</t>
  </si>
  <si>
    <t>Pembentukan Model</t>
  </si>
  <si>
    <t>X5 = Kontribusi Sektor Industri Pengolahan teradap PDRB/PDB  (%)</t>
  </si>
  <si>
    <t>sum x5</t>
  </si>
  <si>
    <t>mean x5</t>
  </si>
  <si>
    <t>sumx5^2</t>
  </si>
  <si>
    <t>sum(x5)^2</t>
  </si>
  <si>
    <t>sum(y*x5)</t>
  </si>
  <si>
    <t>x5^2</t>
  </si>
  <si>
    <t>x1^2</t>
  </si>
  <si>
    <t>Y^ = 50.3533 + 2.87498X1</t>
  </si>
  <si>
    <t>Mdel Linear</t>
  </si>
  <si>
    <t>Y^ = 75.428493 + 0.013138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</si>
</sst>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000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28E8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164" fontId="0" fillId="0" borderId="0" xfId="0" applyNumberFormat="1"/>
    <xf numFmtId="2" fontId="0" fillId="0" borderId="0" xfId="0" applyNumberFormat="1"/>
    <xf numFmtId="167" fontId="0" fillId="0" borderId="0" xfId="0" applyNumberFormat="1"/>
    <xf numFmtId="0" fontId="0" fillId="7" borderId="0" xfId="0" applyFill="1"/>
    <xf numFmtId="0" fontId="7" fillId="0" borderId="7" xfId="0" applyFont="1" applyBorder="1" applyAlignment="1">
      <alignment horizontal="center"/>
    </xf>
    <xf numFmtId="0" fontId="8" fillId="0" borderId="0" xfId="0" applyFont="1"/>
    <xf numFmtId="0" fontId="7" fillId="0" borderId="0" xfId="0" applyFont="1" applyBorder="1" applyAlignment="1">
      <alignment horizontal="center"/>
    </xf>
    <xf numFmtId="0" fontId="1" fillId="8" borderId="0" xfId="0" applyFont="1" applyFill="1" applyBorder="1"/>
    <xf numFmtId="0" fontId="8" fillId="7" borderId="0" xfId="0" applyFont="1" applyFill="1"/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AB122"/>
  <sheetViews>
    <sheetView tabSelected="1" zoomScale="91" workbookViewId="0">
      <selection activeCell="S27" sqref="S27"/>
    </sheetView>
  </sheetViews>
  <sheetFormatPr defaultRowHeight="12.75" x14ac:dyDescent="0.2"/>
  <cols>
    <col min="1" max="1" width="29.85546875" customWidth="1"/>
    <col min="16" max="16" width="16.7109375" customWidth="1"/>
    <col min="19" max="19" width="16.5703125" customWidth="1"/>
    <col min="23" max="23" width="20.85546875" bestFit="1" customWidth="1"/>
  </cols>
  <sheetData>
    <row r="1" spans="1:28" ht="13.15" customHeight="1" x14ac:dyDescent="0.2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1" t="s">
        <v>12</v>
      </c>
      <c r="L1" s="33"/>
      <c r="M1" t="s">
        <v>1733</v>
      </c>
      <c r="AB1" s="31" t="s">
        <v>1734</v>
      </c>
    </row>
    <row r="2" spans="1:28" x14ac:dyDescent="0.2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30">
        <v>7.93</v>
      </c>
      <c r="L2" s="32"/>
      <c r="M2">
        <f>G2^2</f>
        <v>16.483599999999996</v>
      </c>
      <c r="AB2">
        <f>C2^2</f>
        <v>85.747599999999991</v>
      </c>
    </row>
    <row r="3" spans="1:28" x14ac:dyDescent="0.2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30">
        <v>5.22</v>
      </c>
      <c r="L3" s="32"/>
      <c r="M3">
        <f t="shared" ref="M3:M66" si="0">G3^2</f>
        <v>1.9043999999999996</v>
      </c>
      <c r="O3" t="s">
        <v>1705</v>
      </c>
      <c r="S3" t="s">
        <v>1708</v>
      </c>
      <c r="Y3" t="s">
        <v>1717</v>
      </c>
      <c r="Z3" t="s">
        <v>1718</v>
      </c>
      <c r="AB3">
        <f t="shared" ref="AB3:AB66" si="1">C3^2</f>
        <v>142.80249999999998</v>
      </c>
    </row>
    <row r="4" spans="1:28" x14ac:dyDescent="0.2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30">
        <v>6.95</v>
      </c>
      <c r="L4" s="32"/>
      <c r="M4">
        <f t="shared" si="0"/>
        <v>714.49290000000008</v>
      </c>
      <c r="O4" t="s">
        <v>1706</v>
      </c>
      <c r="S4" t="s">
        <v>1706</v>
      </c>
      <c r="Y4" s="27">
        <f>C2-$W$10</f>
        <v>0.42764705882353304</v>
      </c>
      <c r="Z4" s="27">
        <f>B2-$W$9</f>
        <v>0.94386554621844709</v>
      </c>
      <c r="AB4">
        <f t="shared" si="1"/>
        <v>143.76009999999999</v>
      </c>
    </row>
    <row r="5" spans="1:28" x14ac:dyDescent="0.2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30">
        <v>6.24</v>
      </c>
      <c r="L5" s="32"/>
      <c r="M5">
        <f t="shared" si="0"/>
        <v>0.70559999999999989</v>
      </c>
      <c r="O5" t="s">
        <v>1707</v>
      </c>
      <c r="S5" t="s">
        <v>1707</v>
      </c>
      <c r="Y5" s="27">
        <f t="shared" ref="Y5:Y68" si="2">C3-$W$10</f>
        <v>3.1176470588235325</v>
      </c>
      <c r="Z5" s="27">
        <f t="shared" ref="Z5:Z68" si="3">B3-$W$9</f>
        <v>11.823865546218443</v>
      </c>
      <c r="AB5">
        <f t="shared" si="1"/>
        <v>134.79209999999998</v>
      </c>
    </row>
    <row r="6" spans="1:28" x14ac:dyDescent="0.2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30">
        <v>6.18</v>
      </c>
      <c r="L6" s="32"/>
      <c r="M6">
        <f t="shared" si="0"/>
        <v>28.09</v>
      </c>
      <c r="Y6" s="27">
        <f t="shared" si="2"/>
        <v>3.1576470588235335</v>
      </c>
      <c r="Z6" s="27">
        <f t="shared" si="3"/>
        <v>9.0138655462184545</v>
      </c>
      <c r="AB6">
        <f t="shared" si="1"/>
        <v>126.33760000000001</v>
      </c>
    </row>
    <row r="7" spans="1:28" x14ac:dyDescent="0.2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30">
        <v>6.18</v>
      </c>
      <c r="L7" s="32"/>
      <c r="M7">
        <f t="shared" si="0"/>
        <v>918.69609999999989</v>
      </c>
      <c r="O7" t="s">
        <v>1719</v>
      </c>
      <c r="P7" s="27" cm="1">
        <f t="array" ref="P7">SUM((Y4:Y122)*(Z4:Z122))</f>
        <v>917.66998235294102</v>
      </c>
      <c r="S7" t="s">
        <v>1709</v>
      </c>
      <c r="T7">
        <f>SUM(B2:B120)</f>
        <v>9013.7900000000045</v>
      </c>
      <c r="V7" t="s">
        <v>1713</v>
      </c>
      <c r="W7" s="27">
        <f>SUM(AB2:AB120)</f>
        <v>9602.436700000002</v>
      </c>
      <c r="Y7" s="27">
        <f t="shared" si="2"/>
        <v>2.7776470588235327</v>
      </c>
      <c r="Z7" s="27">
        <f t="shared" si="3"/>
        <v>8.0038655462184494</v>
      </c>
      <c r="AB7">
        <f t="shared" si="1"/>
        <v>117.7225</v>
      </c>
    </row>
    <row r="8" spans="1:28" x14ac:dyDescent="0.2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30">
        <v>7.34</v>
      </c>
      <c r="L8" s="32"/>
      <c r="M8">
        <f t="shared" si="0"/>
        <v>2667.7224999999999</v>
      </c>
      <c r="O8" t="s">
        <v>1720</v>
      </c>
      <c r="P8" s="27" cm="1">
        <f t="array" ref="P8">SUM(Y4:Y122^2)</f>
        <v>319.19214117647056</v>
      </c>
      <c r="S8" t="s">
        <v>1710</v>
      </c>
      <c r="T8">
        <f>SUM(C2:C120)</f>
        <v>1051.0499999999995</v>
      </c>
      <c r="V8" t="s">
        <v>1714</v>
      </c>
      <c r="W8" s="27">
        <f>T8^2</f>
        <v>1104706.1024999989</v>
      </c>
      <c r="Y8" s="27">
        <f t="shared" si="2"/>
        <v>2.4076470588235335</v>
      </c>
      <c r="Z8" s="27">
        <f t="shared" si="3"/>
        <v>8.6538655462184551</v>
      </c>
      <c r="AB8">
        <f t="shared" si="1"/>
        <v>79.032100000000014</v>
      </c>
    </row>
    <row r="9" spans="1:28" x14ac:dyDescent="0.2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30">
        <v>7.11</v>
      </c>
      <c r="L9" s="32"/>
      <c r="M9">
        <f t="shared" si="0"/>
        <v>293.43689999999998</v>
      </c>
      <c r="S9" t="s">
        <v>1711</v>
      </c>
      <c r="T9" cm="1">
        <f t="array" ref="T9">SUM(B2:B120*C2:C120)</f>
        <v>80530.6446</v>
      </c>
      <c r="V9" t="s">
        <v>1715</v>
      </c>
      <c r="W9" s="27">
        <f>AVERAGE(B2:B120)</f>
        <v>75.746134453781551</v>
      </c>
      <c r="Y9" s="27">
        <f t="shared" si="2"/>
        <v>2.0176470588235329</v>
      </c>
      <c r="Z9" s="27">
        <f t="shared" si="3"/>
        <v>6.3838655462184448</v>
      </c>
      <c r="AB9">
        <f t="shared" si="1"/>
        <v>60.0625</v>
      </c>
    </row>
    <row r="10" spans="1:28" x14ac:dyDescent="0.2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30">
        <v>5.99</v>
      </c>
      <c r="L10" s="32"/>
      <c r="M10">
        <f t="shared" si="0"/>
        <v>53.144100000000002</v>
      </c>
      <c r="O10" t="s">
        <v>1721</v>
      </c>
      <c r="P10" s="29">
        <f>P7/P8</f>
        <v>2.8749767427563082</v>
      </c>
      <c r="S10" t="s">
        <v>1712</v>
      </c>
      <c r="T10">
        <f>COUNT(B2:B120)</f>
        <v>119</v>
      </c>
      <c r="V10" t="s">
        <v>1716</v>
      </c>
      <c r="W10" s="27">
        <f>AVERAGE(C2:C120)</f>
        <v>8.8323529411764667</v>
      </c>
      <c r="Y10" s="27">
        <f t="shared" si="2"/>
        <v>5.7647058823533825E-2</v>
      </c>
      <c r="Z10" s="27">
        <f t="shared" si="3"/>
        <v>-2.1161344537815552</v>
      </c>
      <c r="AB10">
        <f t="shared" si="1"/>
        <v>62.568100000000001</v>
      </c>
    </row>
    <row r="11" spans="1:28" x14ac:dyDescent="0.2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30">
        <v>6.36</v>
      </c>
      <c r="L11" s="32"/>
      <c r="M11">
        <f t="shared" si="0"/>
        <v>2799.4680999999996</v>
      </c>
      <c r="O11" t="s">
        <v>1722</v>
      </c>
      <c r="P11" s="29">
        <f>W9-P10*W10</f>
        <v>50.353325164083934</v>
      </c>
      <c r="Y11" s="27">
        <f t="shared" si="2"/>
        <v>-1.0823529411764667</v>
      </c>
      <c r="Z11" s="27">
        <f t="shared" si="3"/>
        <v>-5.5661344537815438</v>
      </c>
      <c r="AB11">
        <f t="shared" si="1"/>
        <v>89.302499999999981</v>
      </c>
    </row>
    <row r="12" spans="1:28" x14ac:dyDescent="0.2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30">
        <v>6.96</v>
      </c>
      <c r="L12" s="32"/>
      <c r="M12">
        <f t="shared" si="0"/>
        <v>89.113599999999991</v>
      </c>
      <c r="S12" t="s">
        <v>1723</v>
      </c>
      <c r="T12">
        <f>(T9-T8*W9)/(W7-(W8/T10))</f>
        <v>2.8749767427561883</v>
      </c>
      <c r="V12" t="s">
        <v>1725</v>
      </c>
      <c r="Y12" s="27">
        <f t="shared" si="2"/>
        <v>-0.9223529411764666</v>
      </c>
      <c r="Z12" s="27">
        <f t="shared" si="3"/>
        <v>-6.8561344537815501</v>
      </c>
      <c r="AB12">
        <f t="shared" si="1"/>
        <v>69.056100000000015</v>
      </c>
    </row>
    <row r="13" spans="1:28" x14ac:dyDescent="0.2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30">
        <v>3.74</v>
      </c>
      <c r="L13" s="32"/>
      <c r="M13">
        <f t="shared" si="0"/>
        <v>69.388900000000007</v>
      </c>
      <c r="S13" t="s">
        <v>1724</v>
      </c>
      <c r="T13">
        <f>W9-T12*W10</f>
        <v>50.353325164084993</v>
      </c>
      <c r="V13" s="34" t="s">
        <v>1735</v>
      </c>
      <c r="W13" s="29"/>
      <c r="Y13" s="27">
        <f t="shared" si="2"/>
        <v>0.61764705882353255</v>
      </c>
      <c r="Z13" s="27">
        <f t="shared" si="3"/>
        <v>-1.1561344537815472</v>
      </c>
      <c r="AB13">
        <f t="shared" si="1"/>
        <v>69.222400000000007</v>
      </c>
    </row>
    <row r="14" spans="1:28" x14ac:dyDescent="0.2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30">
        <v>3.37</v>
      </c>
      <c r="L14" s="32"/>
      <c r="M14">
        <f t="shared" si="0"/>
        <v>53.144100000000002</v>
      </c>
      <c r="Y14" s="27">
        <f t="shared" si="2"/>
        <v>-0.52235294117646625</v>
      </c>
      <c r="Z14" s="27">
        <f t="shared" si="3"/>
        <v>-5.836134453781554</v>
      </c>
      <c r="AB14">
        <f t="shared" si="1"/>
        <v>69.388900000000007</v>
      </c>
    </row>
    <row r="15" spans="1:28" x14ac:dyDescent="0.2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30">
        <v>7.78</v>
      </c>
      <c r="L15" s="32"/>
      <c r="M15">
        <f t="shared" si="0"/>
        <v>5.1528999999999998</v>
      </c>
      <c r="O15" t="s">
        <v>1726</v>
      </c>
      <c r="Y15" s="27">
        <f t="shared" si="2"/>
        <v>-0.51235294117646646</v>
      </c>
      <c r="Z15" s="27">
        <f t="shared" si="3"/>
        <v>-5.7661344537815467</v>
      </c>
      <c r="AB15">
        <f t="shared" si="1"/>
        <v>66.912399999999991</v>
      </c>
    </row>
    <row r="16" spans="1:28" x14ac:dyDescent="0.2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30">
        <v>6.74</v>
      </c>
      <c r="L16" s="32"/>
      <c r="M16">
        <f t="shared" si="0"/>
        <v>419.84009999999995</v>
      </c>
      <c r="O16" t="s">
        <v>1706</v>
      </c>
      <c r="Y16" s="27">
        <f t="shared" si="2"/>
        <v>-0.50235294117646667</v>
      </c>
      <c r="Z16" s="27">
        <f t="shared" si="3"/>
        <v>-2.1061344537815501</v>
      </c>
      <c r="AB16">
        <f t="shared" si="1"/>
        <v>64.963600000000014</v>
      </c>
    </row>
    <row r="17" spans="1:28" x14ac:dyDescent="0.2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30">
        <v>4.01</v>
      </c>
      <c r="L17" s="32"/>
      <c r="M17">
        <f t="shared" si="0"/>
        <v>672.88360000000011</v>
      </c>
      <c r="O17" t="s">
        <v>1727</v>
      </c>
      <c r="Y17" s="27">
        <f t="shared" si="2"/>
        <v>-0.65235294117646703</v>
      </c>
      <c r="Z17" s="27">
        <f t="shared" si="3"/>
        <v>-4.1861344537815484</v>
      </c>
      <c r="AB17">
        <f t="shared" si="1"/>
        <v>63.840100000000007</v>
      </c>
    </row>
    <row r="18" spans="1:28" x14ac:dyDescent="0.2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30">
        <v>6.16</v>
      </c>
      <c r="L18" s="32"/>
      <c r="M18">
        <f t="shared" si="0"/>
        <v>373.26240000000001</v>
      </c>
      <c r="Y18" s="27">
        <f t="shared" si="2"/>
        <v>-0.77235294117646625</v>
      </c>
      <c r="Z18" s="27">
        <f t="shared" si="3"/>
        <v>-3.4461344537815535</v>
      </c>
      <c r="AB18">
        <f t="shared" si="1"/>
        <v>78.499599999999987</v>
      </c>
    </row>
    <row r="19" spans="1:28" x14ac:dyDescent="0.2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30">
        <v>6.25</v>
      </c>
      <c r="L19" s="32"/>
      <c r="M19">
        <f t="shared" si="0"/>
        <v>1926.3321000000001</v>
      </c>
      <c r="O19" t="s">
        <v>1709</v>
      </c>
      <c r="P19">
        <f>SUM(B2:B120)</f>
        <v>9013.7900000000045</v>
      </c>
      <c r="R19" t="s">
        <v>1730</v>
      </c>
      <c r="S19" s="26">
        <f>SUM(M2:M120)</f>
        <v>104933.68520000004</v>
      </c>
      <c r="Y19" s="27">
        <f t="shared" si="2"/>
        <v>-0.84235294117646653</v>
      </c>
      <c r="Z19" s="27">
        <f t="shared" si="3"/>
        <v>-4.3761344537815461</v>
      </c>
      <c r="AB19">
        <f t="shared" si="1"/>
        <v>55.502500000000005</v>
      </c>
    </row>
    <row r="20" spans="1:28" x14ac:dyDescent="0.2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30">
        <v>6.73</v>
      </c>
      <c r="L20" s="32"/>
      <c r="M20">
        <f t="shared" si="0"/>
        <v>162.8176</v>
      </c>
      <c r="O20" t="s">
        <v>1728</v>
      </c>
      <c r="P20">
        <f>SUM(G2:G120)</f>
        <v>2877.0400000000009</v>
      </c>
      <c r="R20" t="s">
        <v>1731</v>
      </c>
      <c r="S20" s="26">
        <f>P20^2</f>
        <v>8277359.1616000049</v>
      </c>
      <c r="Y20" s="27">
        <f t="shared" si="2"/>
        <v>2.7647058823532689E-2</v>
      </c>
      <c r="Z20" s="27">
        <f t="shared" si="3"/>
        <v>-1.1761344537815575</v>
      </c>
      <c r="AB20">
        <f t="shared" si="1"/>
        <v>62.0944</v>
      </c>
    </row>
    <row r="21" spans="1:28" x14ac:dyDescent="0.2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30">
        <v>7.34</v>
      </c>
      <c r="L21" s="32"/>
      <c r="M21">
        <f t="shared" si="0"/>
        <v>3317.76</v>
      </c>
      <c r="O21" t="s">
        <v>1732</v>
      </c>
      <c r="P21" cm="1">
        <f t="array" ref="P21">SUM(B2:B120*G2:G120)</f>
        <v>218389.43939999994</v>
      </c>
      <c r="R21" t="s">
        <v>1715</v>
      </c>
      <c r="S21">
        <f>AVERAGE(B2:B120)</f>
        <v>75.746134453781551</v>
      </c>
      <c r="Y21" s="27">
        <f t="shared" si="2"/>
        <v>-1.3823529411764666</v>
      </c>
      <c r="Z21" s="27">
        <f t="shared" si="3"/>
        <v>-5.0261344537815518</v>
      </c>
      <c r="AB21">
        <f t="shared" si="1"/>
        <v>70.56</v>
      </c>
    </row>
    <row r="22" spans="1:28" x14ac:dyDescent="0.2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30">
        <v>8.0399999999999991</v>
      </c>
      <c r="L22" s="32"/>
      <c r="M22">
        <f t="shared" si="0"/>
        <v>4887.4080999999996</v>
      </c>
      <c r="O22" t="s">
        <v>1712</v>
      </c>
      <c r="P22">
        <f>COUNT(B2:B120)</f>
        <v>119</v>
      </c>
      <c r="R22" t="s">
        <v>1729</v>
      </c>
      <c r="S22">
        <f>AVERAGE(G2:G120)</f>
        <v>24.176806722689083</v>
      </c>
      <c r="Y22" s="27">
        <f t="shared" si="2"/>
        <v>-0.95235294117646685</v>
      </c>
      <c r="Z22" s="27">
        <f t="shared" si="3"/>
        <v>-3.6961344537815535</v>
      </c>
      <c r="AB22">
        <f t="shared" si="1"/>
        <v>72.931599999999989</v>
      </c>
    </row>
    <row r="23" spans="1:28" x14ac:dyDescent="0.2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30">
        <v>8.82</v>
      </c>
      <c r="L23" s="32"/>
      <c r="M23">
        <f t="shared" si="0"/>
        <v>5922.8415999999988</v>
      </c>
      <c r="Y23" s="27">
        <f t="shared" si="2"/>
        <v>-0.43235294117646639</v>
      </c>
      <c r="Z23" s="27">
        <f t="shared" si="3"/>
        <v>-1.7561344537815557</v>
      </c>
      <c r="AB23">
        <f t="shared" si="1"/>
        <v>103.83609999999999</v>
      </c>
    </row>
    <row r="24" spans="1:28" x14ac:dyDescent="0.2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30">
        <v>6.7</v>
      </c>
      <c r="L24" s="32"/>
      <c r="M24">
        <f t="shared" si="0"/>
        <v>1668.7225000000001</v>
      </c>
      <c r="O24" t="s">
        <v>1723</v>
      </c>
      <c r="P24" s="28">
        <f>(P21-P20*S21)/(S19-(S20/P22))</f>
        <v>1.3138289728012231E-2</v>
      </c>
      <c r="R24" s="31" t="s">
        <v>1736</v>
      </c>
      <c r="Y24" s="27">
        <f t="shared" si="2"/>
        <v>-0.2923529411764676</v>
      </c>
      <c r="Z24" s="27">
        <f t="shared" si="3"/>
        <v>-1.9261344537815575</v>
      </c>
      <c r="AB24">
        <f t="shared" si="1"/>
        <v>73.444900000000004</v>
      </c>
    </row>
    <row r="25" spans="1:28" x14ac:dyDescent="0.2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30">
        <v>1.58</v>
      </c>
      <c r="L25" s="32"/>
      <c r="M25">
        <f t="shared" si="0"/>
        <v>23.716900000000003</v>
      </c>
      <c r="O25" t="s">
        <v>1724</v>
      </c>
      <c r="P25" s="28">
        <f>S21-P24*S22</f>
        <v>75.428492562360702</v>
      </c>
      <c r="R25" s="34" t="s">
        <v>1737</v>
      </c>
      <c r="S25" s="29"/>
      <c r="Y25" s="27">
        <f t="shared" si="2"/>
        <v>1.3576470588235328</v>
      </c>
      <c r="Z25" s="27">
        <f t="shared" si="3"/>
        <v>1.0538655462184465</v>
      </c>
      <c r="AB25">
        <f t="shared" si="1"/>
        <v>71.740900000000011</v>
      </c>
    </row>
    <row r="26" spans="1:28" x14ac:dyDescent="0.2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30">
        <v>8.1300000000000008</v>
      </c>
      <c r="L26" s="32"/>
      <c r="M26">
        <f t="shared" si="0"/>
        <v>338.19210000000004</v>
      </c>
      <c r="Y26" s="27">
        <f t="shared" si="2"/>
        <v>-0.26235294117646646</v>
      </c>
      <c r="Z26" s="27">
        <f t="shared" si="3"/>
        <v>-4.9761344537815546</v>
      </c>
      <c r="AB26">
        <f t="shared" si="1"/>
        <v>116.42409999999998</v>
      </c>
    </row>
    <row r="27" spans="1:28" x14ac:dyDescent="0.2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30">
        <v>8.34</v>
      </c>
      <c r="L27" s="32"/>
      <c r="M27">
        <f t="shared" si="0"/>
        <v>23.716900000000003</v>
      </c>
      <c r="Y27" s="27">
        <f t="shared" si="2"/>
        <v>-0.3623529411764661</v>
      </c>
      <c r="Z27" s="27">
        <f t="shared" si="3"/>
        <v>-4.7161344537815495</v>
      </c>
      <c r="AB27">
        <f t="shared" si="1"/>
        <v>108.99359999999999</v>
      </c>
    </row>
    <row r="28" spans="1:28" x14ac:dyDescent="0.2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30">
        <v>7.4</v>
      </c>
      <c r="L28" s="32"/>
      <c r="M28">
        <f t="shared" si="0"/>
        <v>334.52409999999998</v>
      </c>
      <c r="Y28" s="27">
        <f t="shared" si="2"/>
        <v>1.9576470588235324</v>
      </c>
      <c r="Z28" s="27">
        <f t="shared" si="3"/>
        <v>3.2838655462184505</v>
      </c>
      <c r="AB28">
        <f t="shared" si="1"/>
        <v>122.10250000000002</v>
      </c>
    </row>
    <row r="29" spans="1:28" x14ac:dyDescent="0.2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30">
        <v>6.29</v>
      </c>
      <c r="L29" s="32"/>
      <c r="M29">
        <f t="shared" si="0"/>
        <v>101.8081</v>
      </c>
      <c r="Y29" s="27">
        <f t="shared" si="2"/>
        <v>1.6076470588235328</v>
      </c>
      <c r="Z29" s="27">
        <f t="shared" si="3"/>
        <v>1.9438655462184471</v>
      </c>
      <c r="AB29">
        <f t="shared" si="1"/>
        <v>113.6356</v>
      </c>
    </row>
    <row r="30" spans="1:28" x14ac:dyDescent="0.2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30">
        <v>7.82</v>
      </c>
      <c r="L30" s="32"/>
      <c r="M30">
        <f t="shared" si="0"/>
        <v>1092.3024999999998</v>
      </c>
      <c r="Y30" s="27">
        <f t="shared" si="2"/>
        <v>2.217647058823534</v>
      </c>
      <c r="Z30" s="27">
        <f t="shared" si="3"/>
        <v>8.0038655462184494</v>
      </c>
      <c r="AB30">
        <f t="shared" si="1"/>
        <v>141.61000000000001</v>
      </c>
    </row>
    <row r="31" spans="1:28" x14ac:dyDescent="0.2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30">
        <v>6.27</v>
      </c>
      <c r="L31" s="32"/>
      <c r="M31">
        <f t="shared" si="0"/>
        <v>850.30560000000003</v>
      </c>
      <c r="Y31" s="27">
        <f t="shared" si="2"/>
        <v>1.8276470588235334</v>
      </c>
      <c r="Z31" s="27">
        <f t="shared" si="3"/>
        <v>2.3438655462184528</v>
      </c>
      <c r="AB31">
        <f t="shared" si="1"/>
        <v>134.09639999999999</v>
      </c>
    </row>
    <row r="32" spans="1:28" x14ac:dyDescent="0.2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30">
        <v>8.9700000000000006</v>
      </c>
      <c r="L32" s="32"/>
      <c r="M32">
        <f t="shared" si="0"/>
        <v>2009.7288999999998</v>
      </c>
      <c r="Y32" s="27">
        <f t="shared" si="2"/>
        <v>3.0676470588235336</v>
      </c>
      <c r="Z32" s="27">
        <f t="shared" si="3"/>
        <v>7.8038655462184465</v>
      </c>
      <c r="AB32">
        <f t="shared" si="1"/>
        <v>131.5609</v>
      </c>
    </row>
    <row r="33" spans="1:28" x14ac:dyDescent="0.2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30">
        <v>6.49</v>
      </c>
      <c r="L33" s="32"/>
      <c r="M33">
        <f t="shared" si="0"/>
        <v>179.82810000000001</v>
      </c>
      <c r="Y33" s="27">
        <f t="shared" si="2"/>
        <v>2.7476470588235333</v>
      </c>
      <c r="Z33" s="27">
        <f t="shared" si="3"/>
        <v>7.3038655462184465</v>
      </c>
      <c r="AB33">
        <f t="shared" si="1"/>
        <v>97.219599999999986</v>
      </c>
    </row>
    <row r="34" spans="1:28" x14ac:dyDescent="0.2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30">
        <v>5.44</v>
      </c>
      <c r="L34" s="32"/>
      <c r="M34">
        <f t="shared" si="0"/>
        <v>105.88409999999999</v>
      </c>
      <c r="Y34" s="27">
        <f t="shared" si="2"/>
        <v>2.6376470588235339</v>
      </c>
      <c r="Z34" s="27">
        <f t="shared" si="3"/>
        <v>4.5538655462184465</v>
      </c>
      <c r="AB34">
        <f t="shared" si="1"/>
        <v>83.722500000000011</v>
      </c>
    </row>
    <row r="35" spans="1:28" x14ac:dyDescent="0.2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30">
        <v>7.83</v>
      </c>
      <c r="L35" s="32"/>
      <c r="M35">
        <f t="shared" si="0"/>
        <v>3075.8116</v>
      </c>
      <c r="Y35" s="27">
        <f t="shared" si="2"/>
        <v>1.0276470588235327</v>
      </c>
      <c r="Z35" s="27">
        <f t="shared" si="3"/>
        <v>0.2838655462184505</v>
      </c>
      <c r="AB35">
        <f t="shared" si="1"/>
        <v>54.760000000000005</v>
      </c>
    </row>
    <row r="36" spans="1:28" x14ac:dyDescent="0.2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30">
        <v>6.18</v>
      </c>
      <c r="L36" s="32"/>
      <c r="M36">
        <f t="shared" si="0"/>
        <v>696.95999999999992</v>
      </c>
      <c r="Y36" s="27">
        <f t="shared" si="2"/>
        <v>0.31764705882353361</v>
      </c>
      <c r="Z36" s="27">
        <f t="shared" si="3"/>
        <v>-0.73613445378154552</v>
      </c>
      <c r="AB36">
        <f t="shared" si="1"/>
        <v>62.568100000000001</v>
      </c>
    </row>
    <row r="37" spans="1:28" x14ac:dyDescent="0.2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30">
        <v>4.96</v>
      </c>
      <c r="L37" s="32"/>
      <c r="M37">
        <f t="shared" si="0"/>
        <v>799.19290000000001</v>
      </c>
      <c r="Y37" s="27">
        <f t="shared" si="2"/>
        <v>-1.4323529411764664</v>
      </c>
      <c r="Z37" s="27">
        <f t="shared" si="3"/>
        <v>-3.1961344537815535</v>
      </c>
      <c r="AB37">
        <f t="shared" si="1"/>
        <v>54.169600000000003</v>
      </c>
    </row>
    <row r="38" spans="1:28" x14ac:dyDescent="0.2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30">
        <v>5.57</v>
      </c>
      <c r="L38" s="32"/>
      <c r="M38">
        <f t="shared" si="0"/>
        <v>274.56490000000002</v>
      </c>
      <c r="Y38" s="27">
        <f t="shared" si="2"/>
        <v>-0.9223529411764666</v>
      </c>
      <c r="Z38" s="27">
        <f t="shared" si="3"/>
        <v>-1.2261344537815546</v>
      </c>
      <c r="AB38">
        <f t="shared" si="1"/>
        <v>47.196899999999999</v>
      </c>
    </row>
    <row r="39" spans="1:28" x14ac:dyDescent="0.2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30">
        <v>5.07</v>
      </c>
      <c r="L39" s="32"/>
      <c r="M39">
        <f t="shared" si="0"/>
        <v>514.8361000000001</v>
      </c>
      <c r="Y39" s="27">
        <f t="shared" si="2"/>
        <v>-1.4723529411764664</v>
      </c>
      <c r="Z39" s="27">
        <f t="shared" si="3"/>
        <v>-4.7761344537815518</v>
      </c>
      <c r="AB39">
        <f t="shared" si="1"/>
        <v>61.936900000000001</v>
      </c>
    </row>
    <row r="40" spans="1:28" x14ac:dyDescent="0.2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30">
        <v>3.89</v>
      </c>
      <c r="L40" s="32"/>
      <c r="M40">
        <f t="shared" si="0"/>
        <v>402.40359999999993</v>
      </c>
      <c r="Y40" s="27">
        <f t="shared" si="2"/>
        <v>-1.9623529411764666</v>
      </c>
      <c r="Z40" s="27">
        <f t="shared" si="3"/>
        <v>-6.1261344537815461</v>
      </c>
      <c r="AB40">
        <f t="shared" si="1"/>
        <v>74.822500000000005</v>
      </c>
    </row>
    <row r="41" spans="1:28" x14ac:dyDescent="0.2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30">
        <v>4.0199999999999996</v>
      </c>
      <c r="L41" s="32"/>
      <c r="M41">
        <f t="shared" si="0"/>
        <v>313.99839999999995</v>
      </c>
      <c r="Y41" s="27">
        <f t="shared" si="2"/>
        <v>-0.96235294117646664</v>
      </c>
      <c r="Z41" s="27">
        <f t="shared" si="3"/>
        <v>-3.2661344537815467</v>
      </c>
      <c r="AB41">
        <f t="shared" si="1"/>
        <v>47.610000000000007</v>
      </c>
    </row>
    <row r="42" spans="1:28" x14ac:dyDescent="0.2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30">
        <v>3.55</v>
      </c>
      <c r="L42" s="32"/>
      <c r="M42">
        <f t="shared" si="0"/>
        <v>598.29160000000002</v>
      </c>
      <c r="Y42" s="27">
        <f t="shared" si="2"/>
        <v>-0.18235294117646639</v>
      </c>
      <c r="Z42" s="27">
        <f t="shared" si="3"/>
        <v>-0.58613445378155404</v>
      </c>
      <c r="AB42">
        <f t="shared" si="1"/>
        <v>61.308900000000001</v>
      </c>
    </row>
    <row r="43" spans="1:28" x14ac:dyDescent="0.2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30">
        <v>3.16</v>
      </c>
      <c r="L43" s="32"/>
      <c r="M43">
        <f t="shared" si="0"/>
        <v>990.99040000000002</v>
      </c>
      <c r="Y43" s="27">
        <f t="shared" si="2"/>
        <v>-1.9323529411764664</v>
      </c>
      <c r="Z43" s="27">
        <f t="shared" si="3"/>
        <v>-5.1161344537815552</v>
      </c>
      <c r="AB43">
        <f t="shared" si="1"/>
        <v>66.748899999999992</v>
      </c>
    </row>
    <row r="44" spans="1:28" x14ac:dyDescent="0.2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30">
        <v>3.97</v>
      </c>
      <c r="L44" s="32"/>
      <c r="M44">
        <f t="shared" si="0"/>
        <v>1486.1024999999997</v>
      </c>
      <c r="Y44" s="27">
        <f t="shared" si="2"/>
        <v>-1.0023529411764667</v>
      </c>
      <c r="Z44" s="27">
        <f t="shared" si="3"/>
        <v>-3.6461344537815563</v>
      </c>
      <c r="AB44">
        <f t="shared" si="1"/>
        <v>86.304099999999991</v>
      </c>
    </row>
    <row r="45" spans="1:28" x14ac:dyDescent="0.2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30">
        <v>3.65</v>
      </c>
      <c r="L45" s="32"/>
      <c r="M45">
        <f t="shared" si="0"/>
        <v>1455.4224999999999</v>
      </c>
      <c r="Y45" s="27">
        <f t="shared" si="2"/>
        <v>-0.66235294117646681</v>
      </c>
      <c r="Z45" s="27">
        <f t="shared" si="3"/>
        <v>0.21386554621844311</v>
      </c>
      <c r="AB45">
        <f t="shared" si="1"/>
        <v>100.20009999999999</v>
      </c>
    </row>
    <row r="46" spans="1:28" x14ac:dyDescent="0.2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30">
        <v>2.4</v>
      </c>
      <c r="L46" s="32"/>
      <c r="M46">
        <f t="shared" si="0"/>
        <v>370.5625</v>
      </c>
      <c r="Y46" s="27">
        <f t="shared" si="2"/>
        <v>0.4576470588235324</v>
      </c>
      <c r="Z46" s="27">
        <f t="shared" si="3"/>
        <v>2.413865546218446</v>
      </c>
      <c r="AB46">
        <f t="shared" si="1"/>
        <v>58.982399999999998</v>
      </c>
    </row>
    <row r="47" spans="1:28" x14ac:dyDescent="0.2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30">
        <v>3.47</v>
      </c>
      <c r="L47" s="32"/>
      <c r="M47">
        <f t="shared" si="0"/>
        <v>2206.1808999999998</v>
      </c>
      <c r="Y47" s="27">
        <f t="shared" si="2"/>
        <v>1.177647058823533</v>
      </c>
      <c r="Z47" s="27">
        <f t="shared" si="3"/>
        <v>3.5538655462184465</v>
      </c>
      <c r="AB47">
        <f t="shared" si="1"/>
        <v>85.747599999999991</v>
      </c>
    </row>
    <row r="48" spans="1:28" x14ac:dyDescent="0.2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30">
        <v>3.53</v>
      </c>
      <c r="L48" s="32"/>
      <c r="M48">
        <f t="shared" si="0"/>
        <v>1580.8575999999998</v>
      </c>
      <c r="Y48" s="27">
        <f t="shared" si="2"/>
        <v>-1.152352941176467</v>
      </c>
      <c r="Z48" s="27">
        <f t="shared" si="3"/>
        <v>-3.2061344537815444</v>
      </c>
      <c r="AB48">
        <f t="shared" si="1"/>
        <v>62.0944</v>
      </c>
    </row>
    <row r="49" spans="1:28" x14ac:dyDescent="0.2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30">
        <v>3.23</v>
      </c>
      <c r="L49" s="32"/>
      <c r="M49">
        <f t="shared" si="0"/>
        <v>218.74409999999997</v>
      </c>
      <c r="Y49" s="27">
        <f t="shared" si="2"/>
        <v>0.42764705882353304</v>
      </c>
      <c r="Z49" s="27">
        <f t="shared" si="3"/>
        <v>2.3638655462184488</v>
      </c>
      <c r="AB49">
        <f t="shared" si="1"/>
        <v>53.144100000000002</v>
      </c>
    </row>
    <row r="50" spans="1:28" x14ac:dyDescent="0.2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30">
        <v>3.67</v>
      </c>
      <c r="L50" s="32"/>
      <c r="M50">
        <f t="shared" si="0"/>
        <v>119.02810000000001</v>
      </c>
      <c r="Y50" s="27">
        <f t="shared" si="2"/>
        <v>-0.95235294117646685</v>
      </c>
      <c r="Z50" s="27">
        <f t="shared" si="3"/>
        <v>-0.2161344537815495</v>
      </c>
      <c r="AB50">
        <f t="shared" si="1"/>
        <v>52.707599999999999</v>
      </c>
    </row>
    <row r="51" spans="1:28" x14ac:dyDescent="0.2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30">
        <v>2.84</v>
      </c>
      <c r="L51" s="32"/>
      <c r="M51">
        <f t="shared" si="0"/>
        <v>594.87210000000005</v>
      </c>
      <c r="Y51" s="27">
        <f t="shared" si="2"/>
        <v>-1.5423529411764667</v>
      </c>
      <c r="Z51" s="27">
        <f t="shared" si="3"/>
        <v>-3.7261344537815546</v>
      </c>
      <c r="AB51">
        <f t="shared" si="1"/>
        <v>59.752900000000004</v>
      </c>
    </row>
    <row r="52" spans="1:28" x14ac:dyDescent="0.2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30">
        <v>3.87</v>
      </c>
      <c r="L52" s="32"/>
      <c r="M52">
        <f t="shared" si="0"/>
        <v>828.28840000000002</v>
      </c>
      <c r="Y52" s="27">
        <f t="shared" si="2"/>
        <v>-1.572352941176467</v>
      </c>
      <c r="Z52" s="27">
        <f t="shared" si="3"/>
        <v>-4.3261344537815489</v>
      </c>
      <c r="AB52">
        <f t="shared" si="1"/>
        <v>61.152400000000007</v>
      </c>
    </row>
    <row r="53" spans="1:28" x14ac:dyDescent="0.2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30">
        <v>3.19</v>
      </c>
      <c r="L53" s="32"/>
      <c r="M53">
        <f t="shared" si="0"/>
        <v>6038.8440999999993</v>
      </c>
      <c r="Y53" s="27">
        <f t="shared" si="2"/>
        <v>-1.1023529411764663</v>
      </c>
      <c r="Z53" s="27">
        <f t="shared" si="3"/>
        <v>-3.2161344537815495</v>
      </c>
      <c r="AB53">
        <f t="shared" si="1"/>
        <v>87.422499999999999</v>
      </c>
    </row>
    <row r="54" spans="1:28" x14ac:dyDescent="0.2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30">
        <v>3.34</v>
      </c>
      <c r="L54" s="32"/>
      <c r="M54">
        <f t="shared" si="0"/>
        <v>1156.6800999999998</v>
      </c>
      <c r="Y54" s="27">
        <f t="shared" si="2"/>
        <v>-1.0123529411764665</v>
      </c>
      <c r="Z54" s="27">
        <f t="shared" si="3"/>
        <v>-1.6461344537815563</v>
      </c>
      <c r="AB54">
        <f t="shared" si="1"/>
        <v>68.392899999999997</v>
      </c>
    </row>
    <row r="55" spans="1:28" x14ac:dyDescent="0.2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30">
        <v>4.75</v>
      </c>
      <c r="L55" s="32"/>
      <c r="M55">
        <f t="shared" si="0"/>
        <v>1002.3556</v>
      </c>
      <c r="Y55" s="27">
        <f t="shared" si="2"/>
        <v>0.5176470588235329</v>
      </c>
      <c r="Z55" s="27">
        <f t="shared" si="3"/>
        <v>1.4638655462184431</v>
      </c>
      <c r="AB55">
        <f t="shared" si="1"/>
        <v>68.558399999999992</v>
      </c>
    </row>
    <row r="56" spans="1:28" x14ac:dyDescent="0.2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30">
        <v>3.73</v>
      </c>
      <c r="L56" s="32"/>
      <c r="M56">
        <f t="shared" si="0"/>
        <v>1498.4641000000001</v>
      </c>
      <c r="Y56" s="27">
        <f t="shared" si="2"/>
        <v>-0.56235294117646717</v>
      </c>
      <c r="Z56" s="27">
        <f t="shared" si="3"/>
        <v>-1.4261344537815575</v>
      </c>
      <c r="AB56">
        <f t="shared" si="1"/>
        <v>66.585599999999999</v>
      </c>
    </row>
    <row r="57" spans="1:28" x14ac:dyDescent="0.2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30">
        <v>2.35</v>
      </c>
      <c r="L57" s="32"/>
      <c r="M57">
        <f t="shared" si="0"/>
        <v>651.78090000000009</v>
      </c>
      <c r="Y57" s="27">
        <f t="shared" si="2"/>
        <v>-0.55235294117646738</v>
      </c>
      <c r="Z57" s="27">
        <f t="shared" si="3"/>
        <v>-1.1761344537815575</v>
      </c>
      <c r="AB57">
        <f t="shared" si="1"/>
        <v>56.700900000000004</v>
      </c>
    </row>
    <row r="58" spans="1:28" x14ac:dyDescent="0.2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30">
        <v>5.01</v>
      </c>
      <c r="L58" s="32"/>
      <c r="M58">
        <f t="shared" si="0"/>
        <v>1738.8900000000003</v>
      </c>
      <c r="Y58" s="27">
        <f t="shared" si="2"/>
        <v>-0.6723529411764666</v>
      </c>
      <c r="Z58" s="27">
        <f t="shared" si="3"/>
        <v>-7.6134453781548928E-2</v>
      </c>
      <c r="AB58">
        <f t="shared" si="1"/>
        <v>59.907600000000002</v>
      </c>
    </row>
    <row r="59" spans="1:28" x14ac:dyDescent="0.2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30">
        <v>5.67</v>
      </c>
      <c r="L59" s="32"/>
      <c r="M59">
        <f t="shared" si="0"/>
        <v>1217.3121000000001</v>
      </c>
      <c r="Y59" s="27">
        <f t="shared" si="2"/>
        <v>-1.3023529411764665</v>
      </c>
      <c r="Z59" s="27">
        <f t="shared" si="3"/>
        <v>-3.8861344537815512</v>
      </c>
      <c r="AB59">
        <f t="shared" si="1"/>
        <v>50.126400000000004</v>
      </c>
    </row>
    <row r="60" spans="1:28" x14ac:dyDescent="0.2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30">
        <v>3.3</v>
      </c>
      <c r="L60" s="32"/>
      <c r="M60">
        <f t="shared" si="0"/>
        <v>879.71559999999999</v>
      </c>
      <c r="Y60" s="27">
        <f t="shared" si="2"/>
        <v>-1.0923529411764665</v>
      </c>
      <c r="Z60" s="27">
        <f t="shared" si="3"/>
        <v>-1.4061344537815472</v>
      </c>
      <c r="AB60">
        <f t="shared" si="1"/>
        <v>55.950400000000009</v>
      </c>
    </row>
    <row r="61" spans="1:28" x14ac:dyDescent="0.2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30">
        <v>6.63</v>
      </c>
      <c r="L61" s="32"/>
      <c r="M61">
        <f t="shared" si="0"/>
        <v>506.70010000000008</v>
      </c>
      <c r="Y61" s="27">
        <f t="shared" si="2"/>
        <v>-1.7523529411764667</v>
      </c>
      <c r="Z61" s="27">
        <f t="shared" si="3"/>
        <v>-5.0161344537815467</v>
      </c>
      <c r="AB61">
        <f t="shared" si="1"/>
        <v>43.033599999999993</v>
      </c>
    </row>
    <row r="62" spans="1:28" x14ac:dyDescent="0.2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30">
        <v>7.53</v>
      </c>
      <c r="L62" s="32"/>
      <c r="M62">
        <f t="shared" si="0"/>
        <v>1328.6025000000002</v>
      </c>
      <c r="Y62" s="27">
        <f t="shared" si="2"/>
        <v>-1.3523529411764663</v>
      </c>
      <c r="Z62" s="27">
        <f t="shared" si="3"/>
        <v>-3.7961344537815478</v>
      </c>
      <c r="AB62">
        <f t="shared" si="1"/>
        <v>54.169600000000003</v>
      </c>
    </row>
    <row r="63" spans="1:28" x14ac:dyDescent="0.2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30">
        <v>8.35</v>
      </c>
      <c r="L63" s="32"/>
      <c r="M63">
        <f t="shared" si="0"/>
        <v>372.87609999999995</v>
      </c>
      <c r="Y63" s="27">
        <f t="shared" si="2"/>
        <v>-2.2723529411764671</v>
      </c>
      <c r="Z63" s="27">
        <f t="shared" si="3"/>
        <v>-7.0961344537815449</v>
      </c>
      <c r="AB63">
        <f t="shared" si="1"/>
        <v>41.088100000000004</v>
      </c>
    </row>
    <row r="64" spans="1:28" x14ac:dyDescent="0.2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30">
        <v>4.4000000000000004</v>
      </c>
      <c r="L64" s="32"/>
      <c r="M64">
        <f t="shared" si="0"/>
        <v>271.92009999999993</v>
      </c>
      <c r="Y64" s="27">
        <f t="shared" si="2"/>
        <v>-1.4723529411764664</v>
      </c>
      <c r="Z64" s="27">
        <f t="shared" si="3"/>
        <v>-4.0461344537815478</v>
      </c>
      <c r="AB64">
        <f t="shared" si="1"/>
        <v>130.64490000000001</v>
      </c>
    </row>
    <row r="65" spans="1:28" x14ac:dyDescent="0.2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30">
        <v>4.6100000000000003</v>
      </c>
      <c r="L65" s="32"/>
      <c r="M65">
        <f t="shared" si="0"/>
        <v>73.102500000000006</v>
      </c>
      <c r="Y65" s="27">
        <f t="shared" si="2"/>
        <v>-2.4223529411764666</v>
      </c>
      <c r="Z65" s="27">
        <f t="shared" si="3"/>
        <v>-5.5661344537815438</v>
      </c>
      <c r="AB65">
        <f t="shared" si="1"/>
        <v>126.5625</v>
      </c>
    </row>
    <row r="66" spans="1:28" x14ac:dyDescent="0.2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30">
        <v>3.86</v>
      </c>
      <c r="L66" s="32"/>
      <c r="M66">
        <f t="shared" si="0"/>
        <v>1098.2596000000001</v>
      </c>
      <c r="Y66" s="27">
        <f t="shared" si="2"/>
        <v>2.597647058823533</v>
      </c>
      <c r="Z66" s="27">
        <f t="shared" si="3"/>
        <v>6.4038655462184551</v>
      </c>
      <c r="AB66">
        <f t="shared" si="1"/>
        <v>131.79040000000001</v>
      </c>
    </row>
    <row r="67" spans="1:28" x14ac:dyDescent="0.2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30">
        <v>5.82</v>
      </c>
      <c r="L67" s="32"/>
      <c r="M67">
        <f t="shared" ref="M67:M120" si="4">G67^2</f>
        <v>803.72250000000008</v>
      </c>
      <c r="Y67" s="27">
        <f t="shared" si="2"/>
        <v>2.4176470588235333</v>
      </c>
      <c r="Z67" s="27">
        <f t="shared" si="3"/>
        <v>8.663865546218446</v>
      </c>
      <c r="AB67">
        <f t="shared" ref="AB67:AB120" si="5">C67^2</f>
        <v>122.10250000000002</v>
      </c>
    </row>
    <row r="68" spans="1:28" x14ac:dyDescent="0.2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30">
        <v>4.91</v>
      </c>
      <c r="L68" s="32"/>
      <c r="M68">
        <f t="shared" si="4"/>
        <v>394.4196</v>
      </c>
      <c r="Y68" s="27">
        <f t="shared" si="2"/>
        <v>2.6476470588235337</v>
      </c>
      <c r="Z68" s="27">
        <f t="shared" si="3"/>
        <v>9.9738655462184482</v>
      </c>
      <c r="AB68">
        <f t="shared" si="5"/>
        <v>87.235599999999991</v>
      </c>
    </row>
    <row r="69" spans="1:28" x14ac:dyDescent="0.2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30">
        <v>5.88</v>
      </c>
      <c r="L69" s="32"/>
      <c r="M69">
        <f t="shared" si="4"/>
        <v>278.22239999999999</v>
      </c>
      <c r="Y69" s="27">
        <f t="shared" ref="Y69:Y119" si="6">C67-$W$10</f>
        <v>2.217647058823534</v>
      </c>
      <c r="Z69" s="27">
        <f t="shared" ref="Z69:Z122" si="7">B67-$W$9</f>
        <v>9.4938655462184443</v>
      </c>
      <c r="AB69">
        <f t="shared" si="5"/>
        <v>86.118399999999994</v>
      </c>
    </row>
    <row r="70" spans="1:28" x14ac:dyDescent="0.2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30">
        <v>2.0099999999999998</v>
      </c>
      <c r="L70" s="32"/>
      <c r="M70">
        <f t="shared" si="4"/>
        <v>102.21209999999999</v>
      </c>
      <c r="Y70" s="27">
        <f t="shared" si="6"/>
        <v>0.50764705882353311</v>
      </c>
      <c r="Z70" s="27">
        <f t="shared" si="7"/>
        <v>1.4638655462184431</v>
      </c>
      <c r="AB70">
        <f t="shared" si="5"/>
        <v>84.639999999999986</v>
      </c>
    </row>
    <row r="71" spans="1:28" x14ac:dyDescent="0.2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30">
        <v>3.62</v>
      </c>
      <c r="L71" s="32"/>
      <c r="M71">
        <f t="shared" si="4"/>
        <v>198.24639999999999</v>
      </c>
      <c r="Y71" s="27">
        <f t="shared" si="6"/>
        <v>0.44764705882353262</v>
      </c>
      <c r="Z71" s="27">
        <f t="shared" si="7"/>
        <v>1.7538655462184494</v>
      </c>
      <c r="AB71">
        <f t="shared" si="5"/>
        <v>96.236100000000008</v>
      </c>
    </row>
    <row r="72" spans="1:28" x14ac:dyDescent="0.2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30">
        <v>2.16</v>
      </c>
      <c r="L72" s="32"/>
      <c r="M72">
        <f t="shared" si="4"/>
        <v>70.224400000000017</v>
      </c>
      <c r="Y72" s="27">
        <f t="shared" si="6"/>
        <v>0.36764705882353255</v>
      </c>
      <c r="Z72" s="27">
        <f t="shared" si="7"/>
        <v>0.43386554621845619</v>
      </c>
      <c r="AB72">
        <f t="shared" si="5"/>
        <v>54.022499999999994</v>
      </c>
    </row>
    <row r="73" spans="1:28" x14ac:dyDescent="0.2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30">
        <v>4.13</v>
      </c>
      <c r="L73" s="32"/>
      <c r="M73">
        <f t="shared" si="4"/>
        <v>153.01689999999999</v>
      </c>
      <c r="Y73" s="27">
        <f t="shared" si="6"/>
        <v>0.97764705882353375</v>
      </c>
      <c r="Z73" s="27">
        <f t="shared" si="7"/>
        <v>6.3038655462184465</v>
      </c>
      <c r="AB73">
        <f t="shared" si="5"/>
        <v>128.3689</v>
      </c>
    </row>
    <row r="74" spans="1:28" x14ac:dyDescent="0.2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30">
        <v>5.8</v>
      </c>
      <c r="L74" s="32"/>
      <c r="M74">
        <f t="shared" si="4"/>
        <v>144.4804</v>
      </c>
      <c r="Y74" s="27">
        <f t="shared" si="6"/>
        <v>-1.4823529411764671</v>
      </c>
      <c r="Z74" s="27">
        <f t="shared" si="7"/>
        <v>-3.6061344537815501</v>
      </c>
      <c r="AB74">
        <f t="shared" si="5"/>
        <v>146.89439999999999</v>
      </c>
    </row>
    <row r="75" spans="1:28" x14ac:dyDescent="0.2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30">
        <v>1.56</v>
      </c>
      <c r="L75" s="32"/>
      <c r="M75">
        <f t="shared" si="4"/>
        <v>59.444099999999999</v>
      </c>
      <c r="Y75" s="27">
        <f t="shared" si="6"/>
        <v>2.4976470588235333</v>
      </c>
      <c r="Z75" s="27">
        <f t="shared" si="7"/>
        <v>9.9638655462184431</v>
      </c>
      <c r="AB75">
        <f t="shared" si="5"/>
        <v>62.410000000000004</v>
      </c>
    </row>
    <row r="76" spans="1:28" x14ac:dyDescent="0.2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30">
        <v>4.1900000000000004</v>
      </c>
      <c r="L76" s="32"/>
      <c r="M76">
        <f t="shared" si="4"/>
        <v>92.544399999999982</v>
      </c>
      <c r="Y76" s="27">
        <f t="shared" si="6"/>
        <v>3.2876470588235325</v>
      </c>
      <c r="Z76" s="27">
        <f t="shared" si="7"/>
        <v>13.353865546218444</v>
      </c>
      <c r="AB76">
        <f t="shared" si="5"/>
        <v>60.839999999999996</v>
      </c>
    </row>
    <row r="77" spans="1:28" x14ac:dyDescent="0.2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30">
        <v>3.9</v>
      </c>
      <c r="L77" s="32"/>
      <c r="M77">
        <f t="shared" si="4"/>
        <v>377.13640000000009</v>
      </c>
      <c r="Y77" s="27">
        <f t="shared" si="6"/>
        <v>-0.93235294117646639</v>
      </c>
      <c r="Z77" s="27">
        <f t="shared" si="7"/>
        <v>-4.2561344537815557</v>
      </c>
      <c r="AB77">
        <f t="shared" si="5"/>
        <v>62.726399999999998</v>
      </c>
    </row>
    <row r="78" spans="1:28" x14ac:dyDescent="0.2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30">
        <v>4.12</v>
      </c>
      <c r="L78" s="32"/>
      <c r="M78">
        <f t="shared" si="4"/>
        <v>583.7056</v>
      </c>
      <c r="Y78" s="27">
        <f t="shared" si="6"/>
        <v>-1.0323529411764669</v>
      </c>
      <c r="Z78" s="27">
        <f t="shared" si="7"/>
        <v>-2.0461344537815478</v>
      </c>
      <c r="AB78">
        <f t="shared" si="5"/>
        <v>75.342399999999998</v>
      </c>
    </row>
    <row r="79" spans="1:28" x14ac:dyDescent="0.2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30">
        <v>4.7699999999999996</v>
      </c>
      <c r="L79" s="32"/>
      <c r="M79">
        <f t="shared" si="4"/>
        <v>239.01160000000002</v>
      </c>
      <c r="Y79" s="27">
        <f t="shared" si="6"/>
        <v>-0.91235294117646681</v>
      </c>
      <c r="Z79" s="27">
        <f t="shared" si="7"/>
        <v>-3.2761344537815518</v>
      </c>
      <c r="AB79">
        <f t="shared" si="5"/>
        <v>61.936900000000001</v>
      </c>
    </row>
    <row r="80" spans="1:28" x14ac:dyDescent="0.2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30">
        <v>5.0999999999999996</v>
      </c>
      <c r="L80" s="32"/>
      <c r="M80">
        <f t="shared" si="4"/>
        <v>531.7636</v>
      </c>
      <c r="Y80" s="27">
        <f t="shared" si="6"/>
        <v>-0.15235294117646703</v>
      </c>
      <c r="Z80" s="27">
        <f t="shared" si="7"/>
        <v>-0.61613445378155518</v>
      </c>
      <c r="AB80">
        <f t="shared" si="5"/>
        <v>68.227599999999995</v>
      </c>
    </row>
    <row r="81" spans="1:28" x14ac:dyDescent="0.2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30">
        <v>5.13</v>
      </c>
      <c r="L81" s="32"/>
      <c r="M81">
        <f t="shared" si="4"/>
        <v>1069.9441000000002</v>
      </c>
      <c r="Y81" s="27">
        <f t="shared" si="6"/>
        <v>-0.96235294117646664</v>
      </c>
      <c r="Z81" s="27">
        <f t="shared" si="7"/>
        <v>-2.3061344537815529</v>
      </c>
      <c r="AB81">
        <f t="shared" si="5"/>
        <v>60.839999999999996</v>
      </c>
    </row>
    <row r="82" spans="1:28" x14ac:dyDescent="0.2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30">
        <v>3.28</v>
      </c>
      <c r="L82" s="32"/>
      <c r="M82">
        <f t="shared" si="4"/>
        <v>542.42409999999995</v>
      </c>
      <c r="Y82" s="27">
        <f t="shared" si="6"/>
        <v>-0.57235294117646696</v>
      </c>
      <c r="Z82" s="27">
        <f t="shared" si="7"/>
        <v>-0.56613445378154381</v>
      </c>
      <c r="AB82">
        <f t="shared" si="5"/>
        <v>52.852899999999991</v>
      </c>
    </row>
    <row r="83" spans="1:28" x14ac:dyDescent="0.2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30">
        <v>3.23</v>
      </c>
      <c r="L83" s="32"/>
      <c r="M83">
        <f t="shared" si="4"/>
        <v>441.42010000000005</v>
      </c>
      <c r="Y83" s="27">
        <f t="shared" si="6"/>
        <v>-1.0323529411764669</v>
      </c>
      <c r="Z83" s="27">
        <f t="shared" si="7"/>
        <v>-2.2161344537815495</v>
      </c>
      <c r="AB83">
        <f t="shared" si="5"/>
        <v>42.771599999999999</v>
      </c>
    </row>
    <row r="84" spans="1:28" x14ac:dyDescent="0.2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30">
        <v>4.03</v>
      </c>
      <c r="L84" s="32"/>
      <c r="M84">
        <f t="shared" si="4"/>
        <v>167.44359999999998</v>
      </c>
      <c r="Y84" s="27">
        <f t="shared" si="6"/>
        <v>-1.5623529411764672</v>
      </c>
      <c r="Z84" s="27">
        <f t="shared" si="7"/>
        <v>-5.4361344537815484</v>
      </c>
      <c r="AB84">
        <f t="shared" si="5"/>
        <v>60.528400000000005</v>
      </c>
    </row>
    <row r="85" spans="1:28" x14ac:dyDescent="0.2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30">
        <v>3.63</v>
      </c>
      <c r="L85" s="32"/>
      <c r="M85">
        <f t="shared" si="4"/>
        <v>635.54410000000007</v>
      </c>
      <c r="Y85" s="27">
        <f t="shared" si="6"/>
        <v>-2.2923529411764667</v>
      </c>
      <c r="Z85" s="27">
        <f t="shared" si="7"/>
        <v>-4.8161344537815438</v>
      </c>
      <c r="AB85">
        <f t="shared" si="5"/>
        <v>42.640900000000002</v>
      </c>
    </row>
    <row r="86" spans="1:28" x14ac:dyDescent="0.2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30">
        <v>3.15</v>
      </c>
      <c r="L86" s="32"/>
      <c r="M86">
        <f t="shared" si="4"/>
        <v>439.74089999999995</v>
      </c>
      <c r="Y86" s="27">
        <f t="shared" si="6"/>
        <v>-1.0523529411764665</v>
      </c>
      <c r="Z86" s="27">
        <f t="shared" si="7"/>
        <v>-1.4461344537815535</v>
      </c>
      <c r="AB86">
        <f t="shared" si="5"/>
        <v>48.024899999999995</v>
      </c>
    </row>
    <row r="87" spans="1:28" x14ac:dyDescent="0.2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30">
        <v>3</v>
      </c>
      <c r="L87" s="32"/>
      <c r="M87">
        <f t="shared" si="4"/>
        <v>748.56959999999992</v>
      </c>
      <c r="Y87" s="27">
        <f t="shared" si="6"/>
        <v>-2.3023529411764665</v>
      </c>
      <c r="Z87" s="27">
        <f t="shared" si="7"/>
        <v>-4.5261344537815518</v>
      </c>
      <c r="AB87">
        <f t="shared" si="5"/>
        <v>39.816099999999992</v>
      </c>
    </row>
    <row r="88" spans="1:28" x14ac:dyDescent="0.2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30">
        <v>5.0199999999999996</v>
      </c>
      <c r="L88" s="32"/>
      <c r="M88">
        <f t="shared" si="4"/>
        <v>3678.4224999999997</v>
      </c>
      <c r="Y88" s="27">
        <f t="shared" si="6"/>
        <v>-1.902352941176467</v>
      </c>
      <c r="Z88" s="27">
        <f t="shared" si="7"/>
        <v>-4.5261344537815518</v>
      </c>
      <c r="AB88">
        <f t="shared" si="5"/>
        <v>55.651600000000002</v>
      </c>
    </row>
    <row r="89" spans="1:28" x14ac:dyDescent="0.2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30">
        <v>6.49</v>
      </c>
      <c r="L89" s="32"/>
      <c r="M89">
        <f t="shared" si="4"/>
        <v>2359.0448999999999</v>
      </c>
      <c r="Y89" s="27">
        <f t="shared" si="6"/>
        <v>-2.5223529411764671</v>
      </c>
      <c r="Z89" s="27">
        <f t="shared" si="7"/>
        <v>-4.8961344537815563</v>
      </c>
      <c r="AB89">
        <f t="shared" si="5"/>
        <v>119.02810000000001</v>
      </c>
    </row>
    <row r="90" spans="1:28" x14ac:dyDescent="0.2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30">
        <v>3.87</v>
      </c>
      <c r="L90" s="32"/>
      <c r="M90">
        <f t="shared" si="4"/>
        <v>3355.8849</v>
      </c>
      <c r="Y90" s="27">
        <f t="shared" si="6"/>
        <v>-1.3723529411764668</v>
      </c>
      <c r="Z90" s="27">
        <f t="shared" si="7"/>
        <v>-3.3861344537815512</v>
      </c>
      <c r="AB90">
        <f t="shared" si="5"/>
        <v>83.35690000000001</v>
      </c>
    </row>
    <row r="91" spans="1:28" x14ac:dyDescent="0.2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30">
        <v>3.75</v>
      </c>
      <c r="L91" s="32"/>
      <c r="M91">
        <f t="shared" si="4"/>
        <v>494.61759999999992</v>
      </c>
      <c r="Y91" s="27">
        <f t="shared" si="6"/>
        <v>2.0776470588235334</v>
      </c>
      <c r="Z91" s="27">
        <f t="shared" si="7"/>
        <v>6.9238655462184511</v>
      </c>
      <c r="AB91">
        <f t="shared" si="5"/>
        <v>77.088399999999993</v>
      </c>
    </row>
    <row r="92" spans="1:28" x14ac:dyDescent="0.2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30">
        <v>3.87</v>
      </c>
      <c r="L92" s="32"/>
      <c r="M92">
        <f t="shared" si="4"/>
        <v>266.01609999999994</v>
      </c>
      <c r="Y92" s="27">
        <f t="shared" si="6"/>
        <v>0.29764705882353404</v>
      </c>
      <c r="Z92" s="27">
        <f t="shared" si="7"/>
        <v>0.94386554621844709</v>
      </c>
      <c r="AB92">
        <f t="shared" si="5"/>
        <v>68.0625</v>
      </c>
    </row>
    <row r="93" spans="1:28" x14ac:dyDescent="0.2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30">
        <v>4.34</v>
      </c>
      <c r="L93" s="32"/>
      <c r="M93">
        <f t="shared" si="4"/>
        <v>212.28490000000002</v>
      </c>
      <c r="Y93" s="27">
        <f t="shared" si="6"/>
        <v>-5.2352941176467382E-2</v>
      </c>
      <c r="Z93" s="27">
        <f t="shared" si="7"/>
        <v>-7.6134453781548928E-2</v>
      </c>
      <c r="AB93">
        <f t="shared" si="5"/>
        <v>67.239999999999995</v>
      </c>
    </row>
    <row r="94" spans="1:28" x14ac:dyDescent="0.2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30">
        <v>3.28</v>
      </c>
      <c r="L94" s="32"/>
      <c r="M94">
        <f t="shared" si="4"/>
        <v>150.79839999999999</v>
      </c>
      <c r="Y94" s="27">
        <f t="shared" si="6"/>
        <v>-0.58235294117646674</v>
      </c>
      <c r="Z94" s="27">
        <f t="shared" si="7"/>
        <v>-0.50613445378155575</v>
      </c>
      <c r="AB94">
        <f t="shared" si="5"/>
        <v>75.516099999999994</v>
      </c>
    </row>
    <row r="95" spans="1:28" x14ac:dyDescent="0.2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30">
        <v>2.4</v>
      </c>
      <c r="L95" s="32"/>
      <c r="M95">
        <f t="shared" si="4"/>
        <v>102.21209999999999</v>
      </c>
      <c r="Y95" s="27">
        <f t="shared" si="6"/>
        <v>-0.63235294117646745</v>
      </c>
      <c r="Z95" s="27">
        <f t="shared" si="7"/>
        <v>-0.93613445378154836</v>
      </c>
      <c r="AB95">
        <f t="shared" si="5"/>
        <v>61.465599999999995</v>
      </c>
    </row>
    <row r="96" spans="1:28" x14ac:dyDescent="0.2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30">
        <v>4.42</v>
      </c>
      <c r="L96" s="32"/>
      <c r="M96">
        <f t="shared" si="4"/>
        <v>48.302500000000002</v>
      </c>
      <c r="Y96" s="27">
        <f t="shared" si="6"/>
        <v>-0.14235294117646724</v>
      </c>
      <c r="Z96" s="27">
        <f t="shared" si="7"/>
        <v>1.0238655462184454</v>
      </c>
      <c r="AB96">
        <f t="shared" si="5"/>
        <v>57.6081</v>
      </c>
    </row>
    <row r="97" spans="1:28" x14ac:dyDescent="0.2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30">
        <v>4.28</v>
      </c>
      <c r="L97" s="32"/>
      <c r="M97">
        <f t="shared" si="4"/>
        <v>912.64410000000009</v>
      </c>
      <c r="Y97" s="27">
        <f t="shared" si="6"/>
        <v>-0.99235294117646689</v>
      </c>
      <c r="Z97" s="27">
        <f t="shared" si="7"/>
        <v>-1.836134453781554</v>
      </c>
      <c r="AB97">
        <f t="shared" si="5"/>
        <v>56.700900000000004</v>
      </c>
    </row>
    <row r="98" spans="1:28" x14ac:dyDescent="0.2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30">
        <v>4.34</v>
      </c>
      <c r="L98" s="32"/>
      <c r="M98">
        <f t="shared" si="4"/>
        <v>149.5729</v>
      </c>
      <c r="Y98" s="27">
        <f t="shared" si="6"/>
        <v>-1.2423529411764669</v>
      </c>
      <c r="Z98" s="27">
        <f t="shared" si="7"/>
        <v>-2.9961344537815506</v>
      </c>
      <c r="AB98">
        <f t="shared" si="5"/>
        <v>71.91040000000001</v>
      </c>
    </row>
    <row r="99" spans="1:28" x14ac:dyDescent="0.2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30">
        <v>6.45</v>
      </c>
      <c r="L99" s="32"/>
      <c r="M99">
        <f t="shared" si="4"/>
        <v>2626.5625</v>
      </c>
      <c r="Y99" s="27">
        <f t="shared" si="6"/>
        <v>-1.3023529411764665</v>
      </c>
      <c r="Z99" s="27">
        <f t="shared" si="7"/>
        <v>-3.4361344537815484</v>
      </c>
      <c r="AB99">
        <f t="shared" si="5"/>
        <v>100.60089999999998</v>
      </c>
    </row>
    <row r="100" spans="1:28" x14ac:dyDescent="0.2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30">
        <v>5.35</v>
      </c>
      <c r="L100" s="32"/>
      <c r="M100">
        <f t="shared" si="4"/>
        <v>9.2416</v>
      </c>
      <c r="Y100" s="27">
        <f t="shared" si="6"/>
        <v>-0.35235294117646632</v>
      </c>
      <c r="Z100" s="27">
        <f t="shared" si="7"/>
        <v>0.15386554621845505</v>
      </c>
      <c r="AB100">
        <f t="shared" si="5"/>
        <v>36.120100000000001</v>
      </c>
    </row>
    <row r="101" spans="1:28" x14ac:dyDescent="0.2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30">
        <v>2.5</v>
      </c>
      <c r="L101" s="32"/>
      <c r="M101">
        <f t="shared" si="4"/>
        <v>17.472399999999997</v>
      </c>
      <c r="Y101" s="27">
        <f t="shared" si="6"/>
        <v>1.1976470588235326</v>
      </c>
      <c r="Z101" s="27">
        <f t="shared" si="7"/>
        <v>3.1838655462184562</v>
      </c>
      <c r="AB101">
        <f t="shared" si="5"/>
        <v>25.8064</v>
      </c>
    </row>
    <row r="102" spans="1:28" x14ac:dyDescent="0.2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30">
        <v>1.64</v>
      </c>
      <c r="L102" s="32"/>
      <c r="M102">
        <f t="shared" si="4"/>
        <v>59.907600000000002</v>
      </c>
      <c r="Y102" s="27">
        <f t="shared" si="6"/>
        <v>-2.822352941176467</v>
      </c>
      <c r="Z102" s="27">
        <f t="shared" si="7"/>
        <v>-8.4161344537815523</v>
      </c>
      <c r="AB102">
        <f t="shared" si="5"/>
        <v>51.408899999999996</v>
      </c>
    </row>
    <row r="103" spans="1:28" x14ac:dyDescent="0.2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30">
        <v>1.69</v>
      </c>
      <c r="L103" s="32"/>
      <c r="M103">
        <f t="shared" si="4"/>
        <v>45.292900000000003</v>
      </c>
      <c r="Y103" s="27">
        <f t="shared" si="6"/>
        <v>-3.7523529411764667</v>
      </c>
      <c r="Z103" s="27">
        <f t="shared" si="7"/>
        <v>-9.0261344537815518</v>
      </c>
      <c r="AB103">
        <f t="shared" si="5"/>
        <v>37.209999999999994</v>
      </c>
    </row>
    <row r="104" spans="1:28" x14ac:dyDescent="0.2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30">
        <v>3.91</v>
      </c>
      <c r="L104" s="32"/>
      <c r="M104">
        <f t="shared" si="4"/>
        <v>6342.5295999999998</v>
      </c>
      <c r="Y104" s="27">
        <f t="shared" si="6"/>
        <v>-1.6623529411764668</v>
      </c>
      <c r="Z104" s="27">
        <f t="shared" si="7"/>
        <v>-4.8961344537815563</v>
      </c>
      <c r="AB104">
        <f t="shared" si="5"/>
        <v>119.24639999999999</v>
      </c>
    </row>
    <row r="105" spans="1:28" x14ac:dyDescent="0.2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30">
        <v>5.1100000000000003</v>
      </c>
      <c r="L105" s="32"/>
      <c r="M105">
        <f t="shared" si="4"/>
        <v>98.01</v>
      </c>
      <c r="Y105" s="27">
        <f t="shared" si="6"/>
        <v>-2.7323529411764671</v>
      </c>
      <c r="Z105" s="27">
        <f t="shared" si="7"/>
        <v>-5.9661344537815495</v>
      </c>
      <c r="AB105">
        <f t="shared" si="5"/>
        <v>117.0724</v>
      </c>
    </row>
    <row r="106" spans="1:28" x14ac:dyDescent="0.2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30">
        <v>6.1</v>
      </c>
      <c r="L106" s="32"/>
      <c r="M106">
        <f t="shared" si="4"/>
        <v>733.86810000000003</v>
      </c>
      <c r="Y106" s="27">
        <f t="shared" si="6"/>
        <v>2.0876470588235332</v>
      </c>
      <c r="Z106" s="27">
        <f t="shared" si="7"/>
        <v>6.1338655462184448</v>
      </c>
      <c r="AB106">
        <f t="shared" si="5"/>
        <v>124.09960000000001</v>
      </c>
    </row>
    <row r="107" spans="1:28" x14ac:dyDescent="0.2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30">
        <v>4.4400000000000004</v>
      </c>
      <c r="L107" s="32"/>
      <c r="M107">
        <f t="shared" si="4"/>
        <v>214.03690000000003</v>
      </c>
      <c r="Y107" s="27">
        <f t="shared" si="6"/>
        <v>1.9876470588235335</v>
      </c>
      <c r="Z107" s="27">
        <f t="shared" si="7"/>
        <v>5.6938655462184471</v>
      </c>
      <c r="AB107">
        <f t="shared" si="5"/>
        <v>94.478400000000008</v>
      </c>
    </row>
    <row r="108" spans="1:28" x14ac:dyDescent="0.2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30">
        <v>4.63</v>
      </c>
      <c r="L108" s="32"/>
      <c r="M108">
        <f t="shared" si="4"/>
        <v>392.43609999999995</v>
      </c>
      <c r="Y108" s="27">
        <f t="shared" si="6"/>
        <v>2.3076470588235338</v>
      </c>
      <c r="Z108" s="27">
        <f t="shared" si="7"/>
        <v>8.9338655462184562</v>
      </c>
      <c r="AB108">
        <f t="shared" si="5"/>
        <v>98.803599999999989</v>
      </c>
    </row>
    <row r="109" spans="1:28" x14ac:dyDescent="0.2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30">
        <v>3.76</v>
      </c>
      <c r="L109" s="32"/>
      <c r="M109">
        <f t="shared" si="4"/>
        <v>87.235599999999991</v>
      </c>
      <c r="Y109" s="27">
        <f t="shared" si="6"/>
        <v>0.8876470588235339</v>
      </c>
      <c r="Z109" s="27">
        <f t="shared" si="7"/>
        <v>2.0438655462184556</v>
      </c>
      <c r="AB109">
        <f t="shared" si="5"/>
        <v>129.5044</v>
      </c>
    </row>
    <row r="110" spans="1:28" x14ac:dyDescent="0.2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30">
        <v>4.3</v>
      </c>
      <c r="L110" s="32"/>
      <c r="M110">
        <f t="shared" si="4"/>
        <v>185.77690000000001</v>
      </c>
      <c r="Y110" s="27">
        <f t="shared" si="6"/>
        <v>1.1076470588235328</v>
      </c>
      <c r="Z110" s="27">
        <f t="shared" si="7"/>
        <v>3.1538655462184551</v>
      </c>
      <c r="AB110">
        <f t="shared" si="5"/>
        <v>146.65209999999999</v>
      </c>
    </row>
    <row r="111" spans="1:28" x14ac:dyDescent="0.2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30">
        <v>4.91</v>
      </c>
      <c r="L111" s="32"/>
      <c r="M111">
        <f t="shared" si="4"/>
        <v>363.66489999999999</v>
      </c>
      <c r="Y111" s="27">
        <f t="shared" si="6"/>
        <v>2.547647058823534</v>
      </c>
      <c r="Z111" s="27">
        <f t="shared" si="7"/>
        <v>6.0138655462184545</v>
      </c>
      <c r="AB111">
        <f t="shared" si="5"/>
        <v>118.59210000000002</v>
      </c>
    </row>
    <row r="112" spans="1:28" x14ac:dyDescent="0.2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30">
        <v>3.63</v>
      </c>
      <c r="L112" s="32"/>
      <c r="M112">
        <f t="shared" si="4"/>
        <v>39.564100000000003</v>
      </c>
      <c r="Y112" s="27">
        <f t="shared" si="6"/>
        <v>3.2776470588235327</v>
      </c>
      <c r="Z112" s="27">
        <f t="shared" si="7"/>
        <v>8.7638655462184545</v>
      </c>
      <c r="AB112">
        <f t="shared" si="5"/>
        <v>97.416899999999984</v>
      </c>
    </row>
    <row r="113" spans="1:28" x14ac:dyDescent="0.2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30">
        <v>8.09</v>
      </c>
      <c r="L113" s="32"/>
      <c r="M113">
        <f t="shared" si="4"/>
        <v>51.696100000000008</v>
      </c>
      <c r="Y113" s="27">
        <f t="shared" si="6"/>
        <v>2.0576470588235338</v>
      </c>
      <c r="Z113" s="27">
        <f t="shared" si="7"/>
        <v>8.9438655462184471</v>
      </c>
      <c r="AB113">
        <f t="shared" si="5"/>
        <v>51.265599999999999</v>
      </c>
    </row>
    <row r="114" spans="1:28" x14ac:dyDescent="0.2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30">
        <v>6.23</v>
      </c>
      <c r="L114" s="32"/>
      <c r="M114">
        <f t="shared" si="4"/>
        <v>91.011599999999987</v>
      </c>
      <c r="Y114" s="27">
        <f t="shared" si="6"/>
        <v>1.0376470588235325</v>
      </c>
      <c r="Z114" s="27">
        <f t="shared" si="7"/>
        <v>3.9438655462184471</v>
      </c>
      <c r="AB114">
        <f t="shared" si="5"/>
        <v>43.692100000000003</v>
      </c>
    </row>
    <row r="115" spans="1:28" x14ac:dyDescent="0.2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30">
        <v>6.06</v>
      </c>
      <c r="L115" s="32"/>
      <c r="M115">
        <f t="shared" si="4"/>
        <v>1138.3876000000002</v>
      </c>
      <c r="Y115" s="27">
        <f t="shared" si="6"/>
        <v>-1.6723529411764666</v>
      </c>
      <c r="Z115" s="27">
        <f t="shared" si="7"/>
        <v>-4.8661344537815552</v>
      </c>
      <c r="AB115">
        <f t="shared" si="5"/>
        <v>82.083600000000004</v>
      </c>
    </row>
    <row r="116" spans="1:28" x14ac:dyDescent="0.2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30">
        <v>9.18</v>
      </c>
      <c r="L116" s="32"/>
      <c r="M116">
        <f t="shared" si="4"/>
        <v>2179.9560999999999</v>
      </c>
      <c r="Y116" s="27">
        <f t="shared" si="6"/>
        <v>-2.2223529411764664</v>
      </c>
      <c r="Z116" s="27">
        <f t="shared" si="7"/>
        <v>-7.4161344537815523</v>
      </c>
      <c r="AB116">
        <f t="shared" si="5"/>
        <v>62.0944</v>
      </c>
    </row>
    <row r="117" spans="1:28" x14ac:dyDescent="0.2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30">
        <v>5.92</v>
      </c>
      <c r="L117" s="32"/>
      <c r="M117">
        <f t="shared" si="4"/>
        <v>727.92039999999997</v>
      </c>
      <c r="Y117" s="27">
        <f t="shared" si="6"/>
        <v>0.22764705882353375</v>
      </c>
      <c r="Z117" s="27">
        <f t="shared" si="7"/>
        <v>0.44386554621844709</v>
      </c>
      <c r="AB117">
        <f t="shared" si="5"/>
        <v>124.09960000000001</v>
      </c>
    </row>
    <row r="118" spans="1:28" x14ac:dyDescent="0.2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30">
        <v>6.08</v>
      </c>
      <c r="L118" s="32"/>
      <c r="M118">
        <f t="shared" si="4"/>
        <v>3153.9455999999996</v>
      </c>
      <c r="Y118" s="27">
        <f t="shared" si="6"/>
        <v>-0.95235294117646685</v>
      </c>
      <c r="Z118" s="27">
        <f t="shared" si="7"/>
        <v>-2.4661344537815495</v>
      </c>
      <c r="AB118">
        <f t="shared" si="5"/>
        <v>107.95210000000002</v>
      </c>
    </row>
    <row r="119" spans="1:28" x14ac:dyDescent="0.2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30">
        <v>7.12</v>
      </c>
      <c r="L119" s="32"/>
      <c r="M119">
        <f t="shared" si="4"/>
        <v>21.252100000000002</v>
      </c>
      <c r="Y119" s="27">
        <f t="shared" si="6"/>
        <v>2.3076470588235338</v>
      </c>
      <c r="Z119" s="27">
        <f t="shared" si="7"/>
        <v>5.7838655462184505</v>
      </c>
      <c r="AB119">
        <f t="shared" si="5"/>
        <v>79.744900000000001</v>
      </c>
    </row>
    <row r="120" spans="1:28" x14ac:dyDescent="0.2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30">
        <v>5.09</v>
      </c>
      <c r="L120" s="32"/>
      <c r="M120">
        <f t="shared" si="4"/>
        <v>65.448099999999997</v>
      </c>
      <c r="Y120" s="27">
        <f>C118-$W$10</f>
        <v>1.5576470588235338</v>
      </c>
      <c r="Z120" s="27">
        <f t="shared" si="7"/>
        <v>3.0838655462184477</v>
      </c>
      <c r="AB120">
        <f t="shared" si="5"/>
        <v>140.65959999999998</v>
      </c>
    </row>
    <row r="121" spans="1:28" x14ac:dyDescent="0.2">
      <c r="Y121" s="27">
        <f t="shared" ref="Y121:Y122" si="8">C119-$W$10</f>
        <v>9.7647058823532973E-2</v>
      </c>
      <c r="Z121" s="27">
        <f t="shared" si="7"/>
        <v>1.1538655462184551</v>
      </c>
    </row>
    <row r="122" spans="1:28" x14ac:dyDescent="0.2">
      <c r="Y122" s="27">
        <f t="shared" si="8"/>
        <v>3.0276470588235327</v>
      </c>
      <c r="Z122" s="27">
        <f t="shared" si="7"/>
        <v>8.413865546218446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zoomScale="60" zoomScaleNormal="60" workbookViewId="0">
      <selection activeCell="AE11" sqref="AE11"/>
    </sheetView>
  </sheetViews>
  <sheetFormatPr defaultColWidth="12.5703125" defaultRowHeight="15.75" customHeight="1" x14ac:dyDescent="0.2"/>
  <sheetData>
    <row r="1" spans="1:60" ht="42.6" customHeight="1" x14ac:dyDescent="0.2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2.75" x14ac:dyDescent="0.2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75" x14ac:dyDescent="0.2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75" x14ac:dyDescent="0.2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75" x14ac:dyDescent="0.2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75" x14ac:dyDescent="0.2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75" x14ac:dyDescent="0.2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75" x14ac:dyDescent="0.2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75" x14ac:dyDescent="0.2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75" x14ac:dyDescent="0.2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75" x14ac:dyDescent="0.2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75" x14ac:dyDescent="0.2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75" x14ac:dyDescent="0.2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75" x14ac:dyDescent="0.2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75" x14ac:dyDescent="0.2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75" x14ac:dyDescent="0.2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75" x14ac:dyDescent="0.2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75" x14ac:dyDescent="0.2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75" x14ac:dyDescent="0.2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75" x14ac:dyDescent="0.2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75" x14ac:dyDescent="0.2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75" x14ac:dyDescent="0.2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75" x14ac:dyDescent="0.2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75" x14ac:dyDescent="0.2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75" x14ac:dyDescent="0.2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75" x14ac:dyDescent="0.2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75" x14ac:dyDescent="0.2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75" x14ac:dyDescent="0.2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75" x14ac:dyDescent="0.2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75" x14ac:dyDescent="0.2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75" x14ac:dyDescent="0.2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75" x14ac:dyDescent="0.2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75" x14ac:dyDescent="0.2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75" x14ac:dyDescent="0.2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75" x14ac:dyDescent="0.2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75" x14ac:dyDescent="0.2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75" x14ac:dyDescent="0.2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75" x14ac:dyDescent="0.2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75" x14ac:dyDescent="0.2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75" x14ac:dyDescent="0.2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75" x14ac:dyDescent="0.2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75" x14ac:dyDescent="0.2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75" x14ac:dyDescent="0.2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75" x14ac:dyDescent="0.2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75" x14ac:dyDescent="0.2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75" x14ac:dyDescent="0.2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75" x14ac:dyDescent="0.2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75" x14ac:dyDescent="0.2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75" x14ac:dyDescent="0.2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75" x14ac:dyDescent="0.2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75" x14ac:dyDescent="0.2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75" x14ac:dyDescent="0.2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75" x14ac:dyDescent="0.2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75" x14ac:dyDescent="0.2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75" x14ac:dyDescent="0.2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75" x14ac:dyDescent="0.2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75" x14ac:dyDescent="0.2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75" x14ac:dyDescent="0.2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75" x14ac:dyDescent="0.2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75" x14ac:dyDescent="0.2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75" x14ac:dyDescent="0.2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75" x14ac:dyDescent="0.2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75" x14ac:dyDescent="0.2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75" x14ac:dyDescent="0.2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75" x14ac:dyDescent="0.2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75" x14ac:dyDescent="0.2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75" x14ac:dyDescent="0.2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75" x14ac:dyDescent="0.2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75" x14ac:dyDescent="0.2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75" x14ac:dyDescent="0.2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75" x14ac:dyDescent="0.2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75" x14ac:dyDescent="0.2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75" x14ac:dyDescent="0.2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75" x14ac:dyDescent="0.2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75" x14ac:dyDescent="0.2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75" x14ac:dyDescent="0.2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75" x14ac:dyDescent="0.2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75" x14ac:dyDescent="0.2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75" x14ac:dyDescent="0.2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75" x14ac:dyDescent="0.2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75" x14ac:dyDescent="0.2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75" x14ac:dyDescent="0.2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75" x14ac:dyDescent="0.2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75" x14ac:dyDescent="0.2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75" x14ac:dyDescent="0.2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75" x14ac:dyDescent="0.2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75" x14ac:dyDescent="0.2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75" x14ac:dyDescent="0.2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75" x14ac:dyDescent="0.2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75" x14ac:dyDescent="0.2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75" x14ac:dyDescent="0.2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75" x14ac:dyDescent="0.2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75" x14ac:dyDescent="0.2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75" x14ac:dyDescent="0.2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75" x14ac:dyDescent="0.2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75" x14ac:dyDescent="0.2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75" x14ac:dyDescent="0.2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75" x14ac:dyDescent="0.2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75" x14ac:dyDescent="0.2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75" x14ac:dyDescent="0.2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75" x14ac:dyDescent="0.2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75" x14ac:dyDescent="0.2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75" x14ac:dyDescent="0.2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75" x14ac:dyDescent="0.2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75" x14ac:dyDescent="0.2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75" x14ac:dyDescent="0.2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75" x14ac:dyDescent="0.2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75" x14ac:dyDescent="0.2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75" x14ac:dyDescent="0.2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75" x14ac:dyDescent="0.2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75" x14ac:dyDescent="0.2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75" x14ac:dyDescent="0.2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75" x14ac:dyDescent="0.2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75" x14ac:dyDescent="0.2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75" x14ac:dyDescent="0.2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75" x14ac:dyDescent="0.2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75" x14ac:dyDescent="0.2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75" x14ac:dyDescent="0.2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75" x14ac:dyDescent="0.2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75" x14ac:dyDescent="0.2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75" x14ac:dyDescent="0.2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75" x14ac:dyDescent="0.2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75" x14ac:dyDescent="0.2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75" x14ac:dyDescent="0.2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75" x14ac:dyDescent="0.2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75" x14ac:dyDescent="0.2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75" x14ac:dyDescent="0.2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75" x14ac:dyDescent="0.2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75" x14ac:dyDescent="0.2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75" x14ac:dyDescent="0.2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75" x14ac:dyDescent="0.2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75" x14ac:dyDescent="0.2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75" x14ac:dyDescent="0.2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75" x14ac:dyDescent="0.2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75" x14ac:dyDescent="0.2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75" x14ac:dyDescent="0.2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75" x14ac:dyDescent="0.2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75" x14ac:dyDescent="0.2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75" x14ac:dyDescent="0.2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75" x14ac:dyDescent="0.2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75" x14ac:dyDescent="0.2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75" x14ac:dyDescent="0.2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75" x14ac:dyDescent="0.2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75" x14ac:dyDescent="0.2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75" x14ac:dyDescent="0.2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75" x14ac:dyDescent="0.2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75" x14ac:dyDescent="0.2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75" x14ac:dyDescent="0.2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75" x14ac:dyDescent="0.2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75" x14ac:dyDescent="0.2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75" x14ac:dyDescent="0.2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75" x14ac:dyDescent="0.2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75" x14ac:dyDescent="0.2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75" x14ac:dyDescent="0.2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75" x14ac:dyDescent="0.2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75" x14ac:dyDescent="0.2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75" x14ac:dyDescent="0.2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75" x14ac:dyDescent="0.2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75" x14ac:dyDescent="0.2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75" x14ac:dyDescent="0.2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75" x14ac:dyDescent="0.2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75" x14ac:dyDescent="0.2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75" x14ac:dyDescent="0.2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75" x14ac:dyDescent="0.2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75" x14ac:dyDescent="0.2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75" x14ac:dyDescent="0.2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75" x14ac:dyDescent="0.2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75" x14ac:dyDescent="0.2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75" x14ac:dyDescent="0.2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75" x14ac:dyDescent="0.2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75" x14ac:dyDescent="0.2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75" x14ac:dyDescent="0.2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75" x14ac:dyDescent="0.2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75" x14ac:dyDescent="0.2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75" x14ac:dyDescent="0.2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75" x14ac:dyDescent="0.2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75" x14ac:dyDescent="0.2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75" x14ac:dyDescent="0.2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75" x14ac:dyDescent="0.2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75" x14ac:dyDescent="0.2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75" x14ac:dyDescent="0.2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75" x14ac:dyDescent="0.2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75" x14ac:dyDescent="0.2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75" x14ac:dyDescent="0.2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75" x14ac:dyDescent="0.2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75" x14ac:dyDescent="0.2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75" x14ac:dyDescent="0.2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75" x14ac:dyDescent="0.2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75" x14ac:dyDescent="0.2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75" x14ac:dyDescent="0.2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75" x14ac:dyDescent="0.2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75" x14ac:dyDescent="0.2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75" x14ac:dyDescent="0.2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75" x14ac:dyDescent="0.2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75" x14ac:dyDescent="0.2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75" x14ac:dyDescent="0.2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75" x14ac:dyDescent="0.2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75" x14ac:dyDescent="0.2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75" x14ac:dyDescent="0.2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75" x14ac:dyDescent="0.2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75" x14ac:dyDescent="0.2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75" x14ac:dyDescent="0.2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75" x14ac:dyDescent="0.2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75" x14ac:dyDescent="0.2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75" x14ac:dyDescent="0.2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75" x14ac:dyDescent="0.2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75" x14ac:dyDescent="0.2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75" x14ac:dyDescent="0.2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75" x14ac:dyDescent="0.2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75" x14ac:dyDescent="0.2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75" x14ac:dyDescent="0.2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75" x14ac:dyDescent="0.2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75" x14ac:dyDescent="0.2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75" x14ac:dyDescent="0.2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75" x14ac:dyDescent="0.2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75" x14ac:dyDescent="0.2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75" x14ac:dyDescent="0.2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75" x14ac:dyDescent="0.2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75" x14ac:dyDescent="0.2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75" x14ac:dyDescent="0.2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75" x14ac:dyDescent="0.2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75" x14ac:dyDescent="0.2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75" x14ac:dyDescent="0.2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75" x14ac:dyDescent="0.2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75" x14ac:dyDescent="0.2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75" x14ac:dyDescent="0.2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75" x14ac:dyDescent="0.2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75" x14ac:dyDescent="0.2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75" x14ac:dyDescent="0.2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75" x14ac:dyDescent="0.2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75" x14ac:dyDescent="0.2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75" x14ac:dyDescent="0.2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75" x14ac:dyDescent="0.2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75" x14ac:dyDescent="0.2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75" x14ac:dyDescent="0.2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75" x14ac:dyDescent="0.2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75" x14ac:dyDescent="0.2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75" x14ac:dyDescent="0.2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75" x14ac:dyDescent="0.2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75" x14ac:dyDescent="0.2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75" x14ac:dyDescent="0.2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75" x14ac:dyDescent="0.2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75" x14ac:dyDescent="0.2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75" x14ac:dyDescent="0.2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75" x14ac:dyDescent="0.2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75" x14ac:dyDescent="0.2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75" x14ac:dyDescent="0.2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75" x14ac:dyDescent="0.2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75" x14ac:dyDescent="0.2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75" x14ac:dyDescent="0.2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75" x14ac:dyDescent="0.2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75" x14ac:dyDescent="0.2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75" x14ac:dyDescent="0.2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75" x14ac:dyDescent="0.2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75" x14ac:dyDescent="0.2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75" x14ac:dyDescent="0.2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75" x14ac:dyDescent="0.2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75" x14ac:dyDescent="0.2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75" x14ac:dyDescent="0.2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75" x14ac:dyDescent="0.2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75" x14ac:dyDescent="0.2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75" x14ac:dyDescent="0.2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75" x14ac:dyDescent="0.2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75" x14ac:dyDescent="0.2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75" x14ac:dyDescent="0.2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75" x14ac:dyDescent="0.2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75" x14ac:dyDescent="0.2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75" x14ac:dyDescent="0.2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75" x14ac:dyDescent="0.2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75" x14ac:dyDescent="0.2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75" x14ac:dyDescent="0.2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75" x14ac:dyDescent="0.2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75" x14ac:dyDescent="0.2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75" x14ac:dyDescent="0.2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75" x14ac:dyDescent="0.2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75" x14ac:dyDescent="0.2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75" x14ac:dyDescent="0.2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75" x14ac:dyDescent="0.2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75" x14ac:dyDescent="0.2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75" x14ac:dyDescent="0.2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75" x14ac:dyDescent="0.2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75" x14ac:dyDescent="0.2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75" x14ac:dyDescent="0.2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75" x14ac:dyDescent="0.2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75" x14ac:dyDescent="0.2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75" x14ac:dyDescent="0.2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75" x14ac:dyDescent="0.2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75" x14ac:dyDescent="0.2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75" x14ac:dyDescent="0.2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75" x14ac:dyDescent="0.2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75" x14ac:dyDescent="0.2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75" x14ac:dyDescent="0.2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75" x14ac:dyDescent="0.2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75" x14ac:dyDescent="0.2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75" x14ac:dyDescent="0.2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75" x14ac:dyDescent="0.2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x14ac:dyDescent="0.2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x14ac:dyDescent="0.2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x14ac:dyDescent="0.2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x14ac:dyDescent="0.2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x14ac:dyDescent="0.2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x14ac:dyDescent="0.2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x14ac:dyDescent="0.2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x14ac:dyDescent="0.2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x14ac:dyDescent="0.2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x14ac:dyDescent="0.2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x14ac:dyDescent="0.2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x14ac:dyDescent="0.2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x14ac:dyDescent="0.2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x14ac:dyDescent="0.2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75" x14ac:dyDescent="0.2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75" x14ac:dyDescent="0.2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75" x14ac:dyDescent="0.2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75" x14ac:dyDescent="0.2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75" x14ac:dyDescent="0.2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75" x14ac:dyDescent="0.2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75" x14ac:dyDescent="0.2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75" x14ac:dyDescent="0.2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75" x14ac:dyDescent="0.2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75" x14ac:dyDescent="0.2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75" x14ac:dyDescent="0.2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75" x14ac:dyDescent="0.2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75" x14ac:dyDescent="0.2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75" x14ac:dyDescent="0.2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75" x14ac:dyDescent="0.2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75" x14ac:dyDescent="0.2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75" x14ac:dyDescent="0.2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75" x14ac:dyDescent="0.2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75" x14ac:dyDescent="0.2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75" x14ac:dyDescent="0.2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75" x14ac:dyDescent="0.2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75" x14ac:dyDescent="0.2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75" x14ac:dyDescent="0.2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75" x14ac:dyDescent="0.2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75" x14ac:dyDescent="0.2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75" x14ac:dyDescent="0.2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75" x14ac:dyDescent="0.2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75" x14ac:dyDescent="0.2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75" x14ac:dyDescent="0.2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75" x14ac:dyDescent="0.2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75" x14ac:dyDescent="0.2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75" x14ac:dyDescent="0.2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75" x14ac:dyDescent="0.2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75" x14ac:dyDescent="0.2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75" x14ac:dyDescent="0.2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75" x14ac:dyDescent="0.2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75" x14ac:dyDescent="0.2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75" x14ac:dyDescent="0.2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75" x14ac:dyDescent="0.2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75" x14ac:dyDescent="0.2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75" x14ac:dyDescent="0.2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75" x14ac:dyDescent="0.2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75" x14ac:dyDescent="0.2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75" x14ac:dyDescent="0.2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75" x14ac:dyDescent="0.2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75" x14ac:dyDescent="0.2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75" x14ac:dyDescent="0.2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75" x14ac:dyDescent="0.2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75" x14ac:dyDescent="0.2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75" x14ac:dyDescent="0.2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75" x14ac:dyDescent="0.2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75" x14ac:dyDescent="0.2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75" x14ac:dyDescent="0.2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75" x14ac:dyDescent="0.2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75" x14ac:dyDescent="0.2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75" x14ac:dyDescent="0.2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75" x14ac:dyDescent="0.2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75" x14ac:dyDescent="0.2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75" x14ac:dyDescent="0.2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75" x14ac:dyDescent="0.2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75" x14ac:dyDescent="0.2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75" x14ac:dyDescent="0.2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75" x14ac:dyDescent="0.2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75" x14ac:dyDescent="0.2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75" x14ac:dyDescent="0.2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75" x14ac:dyDescent="0.2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75" x14ac:dyDescent="0.2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75" x14ac:dyDescent="0.2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75" x14ac:dyDescent="0.2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75" x14ac:dyDescent="0.2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75" x14ac:dyDescent="0.2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75" x14ac:dyDescent="0.2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75" x14ac:dyDescent="0.2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75" x14ac:dyDescent="0.2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75" x14ac:dyDescent="0.2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75" x14ac:dyDescent="0.2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75" x14ac:dyDescent="0.2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75" x14ac:dyDescent="0.2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75" x14ac:dyDescent="0.2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75" x14ac:dyDescent="0.2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75" x14ac:dyDescent="0.2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75" x14ac:dyDescent="0.2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75" x14ac:dyDescent="0.2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75" x14ac:dyDescent="0.2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75" x14ac:dyDescent="0.2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75" x14ac:dyDescent="0.2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75" x14ac:dyDescent="0.2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75" x14ac:dyDescent="0.2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75" x14ac:dyDescent="0.2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75" x14ac:dyDescent="0.2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75" x14ac:dyDescent="0.2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75" x14ac:dyDescent="0.2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75" x14ac:dyDescent="0.2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75" x14ac:dyDescent="0.2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75" x14ac:dyDescent="0.2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75" x14ac:dyDescent="0.2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75" x14ac:dyDescent="0.2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75" x14ac:dyDescent="0.2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75" x14ac:dyDescent="0.2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75" x14ac:dyDescent="0.2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75" x14ac:dyDescent="0.2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75" x14ac:dyDescent="0.2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75" x14ac:dyDescent="0.2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75" x14ac:dyDescent="0.2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75" x14ac:dyDescent="0.2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75" x14ac:dyDescent="0.2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75" x14ac:dyDescent="0.2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75" x14ac:dyDescent="0.2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75" x14ac:dyDescent="0.2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75" x14ac:dyDescent="0.2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75" x14ac:dyDescent="0.2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75" x14ac:dyDescent="0.2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75" x14ac:dyDescent="0.2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75" x14ac:dyDescent="0.2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75" x14ac:dyDescent="0.2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75" x14ac:dyDescent="0.2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75" x14ac:dyDescent="0.2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75" x14ac:dyDescent="0.2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75" x14ac:dyDescent="0.2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75" x14ac:dyDescent="0.2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75" x14ac:dyDescent="0.2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75" x14ac:dyDescent="0.2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75" x14ac:dyDescent="0.2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75" x14ac:dyDescent="0.2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75" x14ac:dyDescent="0.2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75" x14ac:dyDescent="0.2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75" x14ac:dyDescent="0.2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75" x14ac:dyDescent="0.2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75" x14ac:dyDescent="0.2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75" x14ac:dyDescent="0.2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75" x14ac:dyDescent="0.2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75" x14ac:dyDescent="0.2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75" x14ac:dyDescent="0.2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75" x14ac:dyDescent="0.2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75" x14ac:dyDescent="0.2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75" x14ac:dyDescent="0.2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75" x14ac:dyDescent="0.2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75" x14ac:dyDescent="0.2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75" x14ac:dyDescent="0.2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75" x14ac:dyDescent="0.2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75" x14ac:dyDescent="0.2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75" x14ac:dyDescent="0.2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75" x14ac:dyDescent="0.2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75" x14ac:dyDescent="0.2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75" x14ac:dyDescent="0.2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75" x14ac:dyDescent="0.2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75" x14ac:dyDescent="0.2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75" x14ac:dyDescent="0.2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75" x14ac:dyDescent="0.2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75" x14ac:dyDescent="0.2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75" x14ac:dyDescent="0.2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75" x14ac:dyDescent="0.2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75" x14ac:dyDescent="0.2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75" x14ac:dyDescent="0.2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75" x14ac:dyDescent="0.2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75" x14ac:dyDescent="0.2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75" x14ac:dyDescent="0.2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75" x14ac:dyDescent="0.2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75" x14ac:dyDescent="0.2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75" x14ac:dyDescent="0.2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75" x14ac:dyDescent="0.2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75" x14ac:dyDescent="0.2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75" x14ac:dyDescent="0.2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75" x14ac:dyDescent="0.2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75" x14ac:dyDescent="0.2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75" x14ac:dyDescent="0.2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75" x14ac:dyDescent="0.2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75" x14ac:dyDescent="0.2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75" x14ac:dyDescent="0.2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75" x14ac:dyDescent="0.2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75" x14ac:dyDescent="0.2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75" x14ac:dyDescent="0.2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75" x14ac:dyDescent="0.2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75" x14ac:dyDescent="0.2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75" x14ac:dyDescent="0.2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75" x14ac:dyDescent="0.2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75" x14ac:dyDescent="0.2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75" x14ac:dyDescent="0.2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75" x14ac:dyDescent="0.2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75" x14ac:dyDescent="0.2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75" x14ac:dyDescent="0.2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75" x14ac:dyDescent="0.2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75" x14ac:dyDescent="0.2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75" x14ac:dyDescent="0.2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75" x14ac:dyDescent="0.2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75" x14ac:dyDescent="0.2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FIDO AHMAD AMIRZA RIFQI</cp:lastModifiedBy>
  <dcterms:created xsi:type="dcterms:W3CDTF">2026-02-10T03:05:01Z</dcterms:created>
  <dcterms:modified xsi:type="dcterms:W3CDTF">2026-02-10T03:05:01Z</dcterms:modified>
</cp:coreProperties>
</file>